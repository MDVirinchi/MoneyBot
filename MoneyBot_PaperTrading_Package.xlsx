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ily_Ops_Log" sheetId="2" state="visible" r:id="rId2"/>
    <sheet xmlns:r="http://schemas.openxmlformats.org/officeDocument/2006/relationships" name="Position_Log" sheetId="3" state="visible" r:id="rId3"/>
    <sheet xmlns:r="http://schemas.openxmlformats.org/officeDocument/2006/relationships" name="Trade_Log" sheetId="4" state="visible" r:id="rId4"/>
    <sheet xmlns:r="http://schemas.openxmlformats.org/officeDocument/2006/relationships" name="Rebalance_Log" sheetId="5" state="visible" r:id="rId5"/>
    <sheet xmlns:r="http://schemas.openxmlformats.org/officeDocument/2006/relationships" name="Monthly_Dashboard" sheetId="6" state="visible" r:id="rId6"/>
    <sheet xmlns:r="http://schemas.openxmlformats.org/officeDocument/2006/relationships" name="Slippage_Tracker" sheetId="7" state="visible" r:id="rId7"/>
    <sheet xmlns:r="http://schemas.openxmlformats.org/officeDocument/2006/relationships" name="Daily_Checklist" sheetId="8" state="visible" r:id="rId8"/>
    <sheet xmlns:r="http://schemas.openxmlformats.org/officeDocument/2006/relationships" name="Rebalance_Checklist" sheetId="9" state="visible" r:id="rId9"/>
    <sheet xmlns:r="http://schemas.openxmlformats.org/officeDocument/2006/relationships" name="Emergency_Car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D-MMM-YYYY"/>
    <numFmt numFmtId="165" formatCode="₹#,##0"/>
    <numFmt numFmtId="166" formatCode="₹#,##0.00"/>
    <numFmt numFmtId="167" formatCode="0.0%"/>
  </numFmts>
  <fonts count="31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7F8C8D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0000FF"/>
      <sz val="10"/>
    </font>
    <font>
      <name val="Arial"/>
      <b val="1"/>
      <color rgb="002E7D32"/>
      <sz val="10"/>
    </font>
    <font>
      <name val="Arial"/>
      <color rgb="002E7D32"/>
      <sz val="10"/>
    </font>
    <font>
      <name val="Arial"/>
      <b val="1"/>
      <color rgb="00C0392B"/>
      <sz val="10"/>
    </font>
    <font>
      <name val="Arial"/>
      <color rgb="00C0392B"/>
      <sz val="10"/>
    </font>
    <font>
      <name val="Arial"/>
      <b val="1"/>
      <color rgb="002E4057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856404"/>
      <sz val="10"/>
    </font>
    <font>
      <name val="Arial"/>
      <color rgb="00856404"/>
      <sz val="10"/>
    </font>
    <font>
      <name val="Arial"/>
      <b val="1"/>
      <color rgb="00FFFFFF"/>
      <sz val="13"/>
    </font>
    <font>
      <name val="Arial"/>
      <i val="1"/>
      <color rgb="007F8C8D"/>
      <sz val="9"/>
    </font>
    <font>
      <name val="Arial"/>
      <b val="1"/>
      <color rgb="00FFFFFF"/>
      <sz val="9"/>
    </font>
    <font>
      <name val="Arial"/>
      <color rgb="007F8C8D"/>
      <sz val="10"/>
    </font>
    <font>
      <name val="Arial"/>
      <b val="1"/>
      <color rgb="00FFFFFF"/>
      <sz val="10"/>
    </font>
    <font>
      <name val="Arial"/>
      <i val="1"/>
      <color rgb="002E4057"/>
      <sz val="9"/>
    </font>
    <font>
      <name val="Arial"/>
      <b val="1"/>
      <color rgb="00FFFFFF"/>
      <sz val="14"/>
    </font>
    <font>
      <name val="Arial"/>
      <b val="1"/>
      <color rgb="002E7D32"/>
      <sz val="9"/>
    </font>
    <font>
      <name val="Arial"/>
      <b val="1"/>
      <i val="1"/>
      <color rgb="002E4057"/>
      <sz val="10"/>
    </font>
    <font>
      <name val="Arial"/>
      <b val="1"/>
      <color rgb="001F3864"/>
      <sz val="12"/>
    </font>
    <font>
      <name val="Arial"/>
      <color rgb="007F8C8D"/>
      <sz val="9"/>
    </font>
    <font>
      <name val="Arial"/>
      <b val="1"/>
      <color rgb="00C0392B"/>
      <sz val="9"/>
    </font>
    <font>
      <name val="Arial"/>
      <b val="1"/>
      <color rgb="002E4057"/>
      <sz val="9"/>
    </font>
    <font>
      <name val="Arial"/>
      <color rgb="00C0392B"/>
      <sz val="9"/>
    </font>
    <font>
      <name val="Arial"/>
      <color rgb="00856404"/>
      <sz val="9"/>
    </font>
    <font>
      <name val="Arial"/>
      <b val="1"/>
      <color rgb="00C0392B"/>
      <sz val="12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4057"/>
      </patternFill>
    </fill>
    <fill>
      <patternFill patternType="solid">
        <fgColor rgb="00E8F5E9"/>
      </patternFill>
    </fill>
    <fill>
      <patternFill patternType="solid">
        <fgColor rgb="00FDECEA"/>
      </patternFill>
    </fill>
    <fill>
      <patternFill patternType="solid">
        <fgColor rgb="00EBF5FB"/>
      </patternFill>
    </fill>
    <fill>
      <patternFill patternType="solid">
        <fgColor rgb="00FFF9C4"/>
      </patternFill>
    </fill>
    <fill>
      <patternFill patternType="solid">
        <fgColor rgb="00FFFFFF"/>
      </patternFill>
    </fill>
    <fill>
      <patternFill patternType="solid">
        <fgColor rgb="00FFF3CD"/>
      </patternFill>
    </fill>
    <fill>
      <patternFill patternType="solid">
        <fgColor rgb="00F2F3F4"/>
      </patternFill>
    </fill>
    <fill>
      <patternFill patternType="solid">
        <fgColor rgb="00C0392B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3" borderId="1" pivotButton="0" quotePrefix="0" xfId="0"/>
    <xf numFmtId="0" fontId="5" fillId="3" borderId="1" pivotButton="0" quotePrefix="0" xfId="0"/>
    <xf numFmtId="0" fontId="6" fillId="5" borderId="1" pivotButton="0" quotePrefix="0" xfId="0"/>
    <xf numFmtId="0" fontId="7" fillId="5" borderId="1" pivotButton="0" quotePrefix="0" xfId="0"/>
    <xf numFmtId="0" fontId="8" fillId="6" borderId="1" pivotButton="0" quotePrefix="0" xfId="0"/>
    <xf numFmtId="0" fontId="9" fillId="6" borderId="1" pivotButton="0" quotePrefix="0" xfId="0"/>
    <xf numFmtId="0" fontId="10" fillId="7" borderId="1" pivotButton="0" quotePrefix="0" xfId="0"/>
    <xf numFmtId="0" fontId="11" fillId="7" borderId="1" pivotButton="0" quotePrefix="0" xfId="0"/>
    <xf numFmtId="0" fontId="5" fillId="8" borderId="1" pivotButton="0" quotePrefix="0" xfId="0"/>
    <xf numFmtId="0" fontId="12" fillId="8" borderId="1" pivotButton="0" quotePrefix="0" xfId="0"/>
    <xf numFmtId="0" fontId="4" fillId="9" borderId="1" pivotButton="0" quotePrefix="0" xfId="0"/>
    <xf numFmtId="0" fontId="11" fillId="9" borderId="1" pivotButton="0" quotePrefix="0" xfId="0"/>
    <xf numFmtId="0" fontId="6" fillId="9" borderId="1" pivotButton="0" quotePrefix="0" xfId="0"/>
    <xf numFmtId="0" fontId="7" fillId="9" borderId="1" pivotButton="0" quotePrefix="0" xfId="0"/>
    <xf numFmtId="0" fontId="4" fillId="8" borderId="1" pivotButton="0" quotePrefix="0" xfId="0"/>
    <xf numFmtId="0" fontId="11" fillId="8" borderId="1" pivotButton="0" quotePrefix="0" xfId="0"/>
    <xf numFmtId="0" fontId="13" fillId="10" borderId="1" pivotButton="0" quotePrefix="0" xfId="0"/>
    <xf numFmtId="0" fontId="14" fillId="10" borderId="1" pivotButton="0" quotePrefix="0" xfId="0"/>
    <xf numFmtId="0" fontId="15" fillId="2" borderId="0" applyAlignment="1" pivotButton="0" quotePrefix="0" xfId="0">
      <alignment horizontal="center" vertical="center"/>
    </xf>
    <xf numFmtId="0" fontId="16" fillId="7" borderId="0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/>
    </xf>
    <xf numFmtId="164" fontId="11" fillId="9" borderId="1" applyAlignment="1" pivotButton="0" quotePrefix="0" xfId="0">
      <alignment horizontal="center" vertical="center"/>
    </xf>
    <xf numFmtId="3" fontId="5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5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18" fillId="9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center" vertical="center"/>
    </xf>
    <xf numFmtId="164" fontId="11" fillId="11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165" fontId="11" fillId="11" borderId="1" applyAlignment="1" pivotButton="0" quotePrefix="0" xfId="0">
      <alignment horizontal="right" vertical="center"/>
    </xf>
    <xf numFmtId="0" fontId="18" fillId="11" borderId="1" applyAlignment="1" pivotButton="0" quotePrefix="0" xfId="0">
      <alignment horizontal="center" vertical="center"/>
    </xf>
    <xf numFmtId="165" fontId="11" fillId="9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164" fontId="10" fillId="3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165" fontId="11" fillId="3" borderId="1" applyAlignment="1" pivotButton="0" quotePrefix="0" xfId="0">
      <alignment horizontal="right" vertical="center"/>
    </xf>
    <xf numFmtId="0" fontId="19" fillId="4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16" fillId="7" borderId="0" applyAlignment="1" pivotButton="0" quotePrefix="0" xfId="0">
      <alignment horizontal="center" vertical="center" wrapText="1"/>
    </xf>
    <xf numFmtId="164" fontId="5" fillId="8" borderId="1" applyAlignment="1" pivotButton="0" quotePrefix="0" xfId="0">
      <alignment horizontal="center" vertical="center"/>
    </xf>
    <xf numFmtId="166" fontId="5" fillId="8" borderId="1" applyAlignment="1" pivotButton="0" quotePrefix="0" xfId="0">
      <alignment horizontal="right" vertical="center"/>
    </xf>
    <xf numFmtId="166" fontId="11" fillId="7" borderId="1" applyAlignment="1" pivotButton="0" quotePrefix="0" xfId="0">
      <alignment horizontal="right" vertical="center"/>
    </xf>
    <xf numFmtId="10" fontId="11" fillId="9" borderId="1" applyAlignment="1" pivotButton="0" quotePrefix="0" xfId="0">
      <alignment horizontal="right" vertical="center"/>
    </xf>
    <xf numFmtId="3" fontId="11" fillId="9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0" fillId="0" borderId="4" pivotButton="0" quotePrefix="0" xfId="0"/>
    <xf numFmtId="3" fontId="11" fillId="9" borderId="1" applyAlignment="1" pivotButton="0" quotePrefix="0" xfId="0">
      <alignment horizontal="right" vertical="center"/>
    </xf>
    <xf numFmtId="0" fontId="0" fillId="0" borderId="1" pivotButton="0" quotePrefix="0" xfId="0"/>
    <xf numFmtId="3" fontId="11" fillId="11" borderId="1" applyAlignment="1" pivotButton="0" quotePrefix="0" xfId="0">
      <alignment horizontal="center" vertical="center"/>
    </xf>
    <xf numFmtId="10" fontId="11" fillId="11" borderId="1" applyAlignment="1" pivotButton="0" quotePrefix="0" xfId="0">
      <alignment horizontal="right" vertical="center"/>
    </xf>
    <xf numFmtId="3" fontId="11" fillId="7" borderId="1" applyAlignment="1" pivotButton="0" quotePrefix="0" xfId="0">
      <alignment horizontal="right" vertical="center"/>
    </xf>
    <xf numFmtId="0" fontId="4" fillId="9" borderId="1" applyAlignment="1" pivotButton="0" quotePrefix="0" xfId="0">
      <alignment horizontal="left" vertical="center"/>
    </xf>
    <xf numFmtId="167" fontId="11" fillId="9" borderId="1" applyAlignment="1" pivotButton="0" quotePrefix="0" xfId="0">
      <alignment horizontal="right" vertical="center"/>
    </xf>
    <xf numFmtId="165" fontId="11" fillId="7" borderId="1" applyAlignment="1" pivotButton="0" quotePrefix="0" xfId="0">
      <alignment horizontal="right" vertical="center"/>
    </xf>
    <xf numFmtId="2" fontId="11" fillId="9" borderId="1" applyAlignment="1" pivotButton="0" quotePrefix="0" xfId="0">
      <alignment horizontal="right" vertical="center"/>
    </xf>
    <xf numFmtId="10" fontId="11" fillId="7" borderId="1" applyAlignment="1" pivotButton="0" quotePrefix="0" xfId="0">
      <alignment horizontal="right" vertical="center"/>
    </xf>
    <xf numFmtId="2" fontId="11" fillId="7" borderId="1" applyAlignment="1" pivotButton="0" quotePrefix="0" xfId="0">
      <alignment horizontal="right" vertical="center"/>
    </xf>
    <xf numFmtId="0" fontId="12" fillId="8" borderId="1" applyAlignment="1" pivotButton="0" quotePrefix="0" xfId="0">
      <alignment horizontal="left" vertical="center" wrapText="1"/>
    </xf>
    <xf numFmtId="165" fontId="5" fillId="8" borderId="1" applyAlignment="1" pivotButton="0" quotePrefix="0" xfId="0">
      <alignment horizontal="right" vertical="center"/>
    </xf>
    <xf numFmtId="167" fontId="5" fillId="8" borderId="1" applyAlignment="1" pivotButton="0" quotePrefix="0" xfId="0">
      <alignment horizontal="center" vertical="center"/>
    </xf>
    <xf numFmtId="164" fontId="10" fillId="9" borderId="1" applyAlignment="1" pivotButton="0" quotePrefix="0" xfId="0">
      <alignment horizontal="center" vertical="center"/>
    </xf>
    <xf numFmtId="0" fontId="20" fillId="7" borderId="1" applyAlignment="1" pivotButton="0" quotePrefix="0" xfId="0">
      <alignment horizontal="left" vertical="center" wrapText="1"/>
    </xf>
    <xf numFmtId="0" fontId="21" fillId="2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65" fontId="5" fillId="9" borderId="1" applyAlignment="1" pivotButton="0" quotePrefix="0" xfId="0">
      <alignment horizontal="right" vertical="center"/>
    </xf>
    <xf numFmtId="0" fontId="0" fillId="9" borderId="1" pivotButton="0" quotePrefix="0" xfId="0"/>
    <xf numFmtId="0" fontId="4" fillId="11" borderId="1" applyAlignment="1" pivotButton="0" quotePrefix="0" xfId="0">
      <alignment horizontal="left" vertical="center"/>
    </xf>
    <xf numFmtId="0" fontId="0" fillId="11" borderId="1" pivotButton="0" quotePrefix="0" xfId="0"/>
    <xf numFmtId="165" fontId="7" fillId="9" borderId="1" applyAlignment="1" pivotButton="0" quotePrefix="0" xfId="0">
      <alignment horizontal="right" vertical="center"/>
    </xf>
    <xf numFmtId="10" fontId="5" fillId="8" borderId="1" applyAlignment="1" pivotButton="0" quotePrefix="0" xfId="0">
      <alignment horizontal="right" vertical="center"/>
    </xf>
    <xf numFmtId="3" fontId="7" fillId="9" borderId="1" applyAlignment="1" pivotButton="0" quotePrefix="0" xfId="0">
      <alignment horizontal="right" vertical="center"/>
    </xf>
    <xf numFmtId="3" fontId="7" fillId="11" borderId="1" applyAlignment="1" pivotButton="0" quotePrefix="0" xfId="0">
      <alignment horizontal="right" vertical="center"/>
    </xf>
    <xf numFmtId="167" fontId="7" fillId="11" borderId="1" applyAlignment="1" pivotButton="0" quotePrefix="0" xfId="0">
      <alignment horizontal="right" vertical="center"/>
    </xf>
    <xf numFmtId="2" fontId="7" fillId="9" borderId="1" applyAlignment="1" pivotButton="0" quotePrefix="0" xfId="0">
      <alignment horizontal="right" vertical="center"/>
    </xf>
    <xf numFmtId="10" fontId="7" fillId="11" borderId="1" applyAlignment="1" pivotButton="0" quotePrefix="0" xfId="0">
      <alignment horizontal="right" vertical="center"/>
    </xf>
    <xf numFmtId="10" fontId="7" fillId="9" borderId="1" applyAlignment="1" pivotButton="0" quotePrefix="0" xfId="0">
      <alignment horizontal="right" vertical="center"/>
    </xf>
    <xf numFmtId="2" fontId="7" fillId="11" borderId="1" applyAlignment="1" pivotButton="0" quotePrefix="0" xfId="0">
      <alignment horizontal="right" vertical="center"/>
    </xf>
    <xf numFmtId="0" fontId="11" fillId="11" borderId="1" applyAlignment="1" pivotButton="0" quotePrefix="0" xfId="0">
      <alignment horizontal="right" vertical="center"/>
    </xf>
    <xf numFmtId="0" fontId="11" fillId="9" borderId="1" applyAlignment="1" pivotButton="0" quotePrefix="0" xfId="0">
      <alignment horizontal="right" vertical="center"/>
    </xf>
    <xf numFmtId="0" fontId="22" fillId="5" borderId="1" applyAlignment="1" pivotButton="0" quotePrefix="0" xfId="0">
      <alignment horizontal="center" vertical="center" wrapText="1"/>
    </xf>
    <xf numFmtId="0" fontId="0" fillId="7" borderId="1" pivotButton="0" quotePrefix="0" xfId="0"/>
    <xf numFmtId="10" fontId="5" fillId="7" borderId="1" applyAlignment="1" pivotButton="0" quotePrefix="0" xfId="0">
      <alignment horizontal="right" vertical="center"/>
    </xf>
    <xf numFmtId="0" fontId="11" fillId="7" borderId="1" applyAlignment="1" pivotButton="0" quotePrefix="0" xfId="0">
      <alignment horizontal="right" vertical="center"/>
    </xf>
    <xf numFmtId="0" fontId="23" fillId="7" borderId="0" applyAlignment="1" pivotButton="0" quotePrefix="0" xfId="0">
      <alignment horizontal="center" vertical="center"/>
    </xf>
    <xf numFmtId="0" fontId="19" fillId="4" borderId="1" applyAlignment="1" pivotButton="0" quotePrefix="0" xfId="0">
      <alignment horizontal="left" vertical="center"/>
    </xf>
    <xf numFmtId="0" fontId="24" fillId="9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 wrapText="1"/>
    </xf>
    <xf numFmtId="0" fontId="25" fillId="9" borderId="1" applyAlignment="1" pivotButton="0" quotePrefix="0" xfId="0">
      <alignment horizontal="center" vertical="center"/>
    </xf>
    <xf numFmtId="0" fontId="24" fillId="11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left" vertical="center" wrapText="1"/>
    </xf>
    <xf numFmtId="0" fontId="25" fillId="11" borderId="1" applyAlignment="1" pivotButton="0" quotePrefix="0" xfId="0">
      <alignment horizontal="center" vertical="center"/>
    </xf>
    <xf numFmtId="0" fontId="24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 wrapText="1"/>
    </xf>
    <xf numFmtId="0" fontId="26" fillId="6" borderId="1" applyAlignment="1" pivotButton="0" quotePrefix="0" xfId="0">
      <alignment horizontal="center" vertical="center"/>
    </xf>
    <xf numFmtId="0" fontId="27" fillId="3" borderId="1" applyAlignment="1" pivotButton="0" quotePrefix="0" xfId="0">
      <alignment horizontal="center" vertical="center" wrapText="1"/>
    </xf>
    <xf numFmtId="0" fontId="25" fillId="9" borderId="1" applyAlignment="1" pivotButton="0" quotePrefix="0" xfId="0">
      <alignment horizontal="center" vertical="center" wrapText="1"/>
    </xf>
    <xf numFmtId="0" fontId="28" fillId="6" borderId="1" applyAlignment="1" pivotButton="0" quotePrefix="0" xfId="0">
      <alignment horizontal="center" vertical="center" wrapText="1"/>
    </xf>
    <xf numFmtId="0" fontId="25" fillId="11" borderId="1" applyAlignment="1" pivotButton="0" quotePrefix="0" xfId="0">
      <alignment horizontal="center" vertical="center" wrapText="1"/>
    </xf>
    <xf numFmtId="0" fontId="24" fillId="10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left" vertical="center" wrapText="1"/>
    </xf>
    <xf numFmtId="0" fontId="29" fillId="10" borderId="1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center" wrapText="1"/>
    </xf>
    <xf numFmtId="0" fontId="13" fillId="10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center" vertical="center"/>
    </xf>
    <xf numFmtId="0" fontId="30" fillId="6" borderId="1" applyAlignment="1" pivotButton="0" quotePrefix="0" xfId="0">
      <alignment horizontal="center" vertical="center"/>
    </xf>
    <xf numFmtId="164" fontId="11" fillId="9" borderId="1" applyAlignment="1" pivotButton="0" quotePrefix="0" xfId="0">
      <alignment horizontal="center" vertical="center"/>
    </xf>
    <xf numFmtId="165" fontId="5" fillId="8" borderId="1" applyAlignment="1" pivotButton="0" quotePrefix="0" xfId="0">
      <alignment horizontal="center" vertical="center"/>
    </xf>
    <xf numFmtId="164" fontId="11" fillId="11" borderId="1" applyAlignment="1" pivotButton="0" quotePrefix="0" xfId="0">
      <alignment horizontal="center" vertical="center"/>
    </xf>
    <xf numFmtId="165" fontId="11" fillId="11" borderId="1" applyAlignment="1" pivotButton="0" quotePrefix="0" xfId="0">
      <alignment horizontal="right" vertical="center"/>
    </xf>
    <xf numFmtId="165" fontId="11" fillId="9" borderId="1" applyAlignment="1" pivotButton="0" quotePrefix="0" xfId="0">
      <alignment horizontal="right" vertical="center"/>
    </xf>
    <xf numFmtId="164" fontId="10" fillId="3" borderId="1" applyAlignment="1" pivotButton="0" quotePrefix="0" xfId="0">
      <alignment horizontal="center" vertical="center"/>
    </xf>
    <xf numFmtId="165" fontId="11" fillId="3" borderId="1" applyAlignment="1" pivotButton="0" quotePrefix="0" xfId="0">
      <alignment horizontal="right" vertical="center"/>
    </xf>
    <xf numFmtId="0" fontId="0" fillId="0" borderId="5" pivotButton="0" quotePrefix="0" xfId="0"/>
    <xf numFmtId="164" fontId="5" fillId="8" borderId="1" applyAlignment="1" pivotButton="0" quotePrefix="0" xfId="0">
      <alignment horizontal="center" vertical="center"/>
    </xf>
    <xf numFmtId="166" fontId="5" fillId="8" borderId="1" applyAlignment="1" pivotButton="0" quotePrefix="0" xfId="0">
      <alignment horizontal="right" vertical="center"/>
    </xf>
    <xf numFmtId="166" fontId="11" fillId="7" borderId="1" applyAlignment="1" pivotButton="0" quotePrefix="0" xfId="0">
      <alignment horizontal="right" vertical="center"/>
    </xf>
    <xf numFmtId="167" fontId="11" fillId="9" borderId="1" applyAlignment="1" pivotButton="0" quotePrefix="0" xfId="0">
      <alignment horizontal="right" vertical="center"/>
    </xf>
    <xf numFmtId="165" fontId="11" fillId="7" borderId="1" applyAlignment="1" pivotButton="0" quotePrefix="0" xfId="0">
      <alignment horizontal="right" vertical="center"/>
    </xf>
    <xf numFmtId="165" fontId="5" fillId="8" borderId="1" applyAlignment="1" pivotButton="0" quotePrefix="0" xfId="0">
      <alignment horizontal="right" vertical="center"/>
    </xf>
    <xf numFmtId="167" fontId="5" fillId="8" borderId="1" applyAlignment="1" pivotButton="0" quotePrefix="0" xfId="0">
      <alignment horizontal="center" vertical="center"/>
    </xf>
    <xf numFmtId="164" fontId="10" fillId="9" borderId="1" applyAlignment="1" pivotButton="0" quotePrefix="0" xfId="0">
      <alignment horizontal="center" vertical="center"/>
    </xf>
    <xf numFmtId="165" fontId="5" fillId="9" borderId="1" applyAlignment="1" pivotButton="0" quotePrefix="0" xfId="0">
      <alignment horizontal="right" vertical="center"/>
    </xf>
    <xf numFmtId="165" fontId="7" fillId="9" borderId="1" applyAlignment="1" pivotButton="0" quotePrefix="0" xfId="0">
      <alignment horizontal="right" vertical="center"/>
    </xf>
    <xf numFmtId="167" fontId="7" fillId="11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0" customWidth="1" min="2" max="2"/>
  </cols>
  <sheetData>
    <row r="1" ht="36" customHeight="1">
      <c r="A1" s="1" t="inlineStr">
        <is>
          <t>MoneyBot RS60/EP40  —  Paper Trading Package</t>
        </is>
      </c>
    </row>
    <row r="2" ht="18" customHeight="1">
      <c r="A2" s="2" t="inlineStr">
        <is>
          <t>30-Trading-Day Operational Workbook  |  Strategy FROZEN  |  Generated 2026-06-15</t>
        </is>
      </c>
    </row>
    <row r="4">
      <c r="A4" s="3" t="inlineStr">
        <is>
          <t>STRATEGY PARAMETERS (FROZEN)</t>
        </is>
      </c>
      <c r="B4" s="51" t="n"/>
    </row>
    <row r="5">
      <c r="A5" s="4" t="inlineStr">
        <is>
          <t>RS Weight</t>
        </is>
      </c>
      <c r="B5" s="5" t="inlineStr">
        <is>
          <t>60%</t>
        </is>
      </c>
    </row>
    <row r="6">
      <c r="A6" s="4" t="inlineStr">
        <is>
          <t>EP Weight</t>
        </is>
      </c>
      <c r="B6" s="5" t="inlineStr">
        <is>
          <t>40%</t>
        </is>
      </c>
    </row>
    <row r="7">
      <c r="A7" s="4" t="inlineStr">
        <is>
          <t>Universe</t>
        </is>
      </c>
      <c r="B7" s="5" t="inlineStr">
        <is>
          <t>134 NSE stocks</t>
        </is>
      </c>
    </row>
    <row r="8">
      <c r="A8" s="4" t="inlineStr">
        <is>
          <t>Portfolio size</t>
        </is>
      </c>
      <c r="B8" s="5" t="inlineStr">
        <is>
          <t>Top 10 by composite score</t>
        </is>
      </c>
    </row>
    <row r="9">
      <c r="A9" s="4" t="inlineStr">
        <is>
          <t>Rebalance cadence</t>
        </is>
      </c>
      <c r="B9" s="5" t="inlineStr">
        <is>
          <t>Every 10 trading days</t>
        </is>
      </c>
    </row>
    <row r="10">
      <c r="A10" s="4" t="inlineStr">
        <is>
          <t>Stop-loss</t>
        </is>
      </c>
      <c r="B10" s="5" t="inlineStr">
        <is>
          <t>10% below entry price — checked every morning</t>
        </is>
      </c>
    </row>
    <row r="11">
      <c r="A11" s="4" t="inlineStr">
        <is>
          <t>Regime filter</t>
        </is>
      </c>
      <c r="B11" s="5" t="inlineStr">
        <is>
          <t>Policy C: Bull+Flat = trade  |  Bear = 100% cash</t>
        </is>
      </c>
    </row>
    <row r="12">
      <c r="A12" s="4" t="inlineStr">
        <is>
          <t>Paper capital</t>
        </is>
      </c>
      <c r="B12" s="5" t="inlineStr">
        <is>
          <t>Rs.5,00,000 (Rs.50,000 per position)</t>
        </is>
      </c>
    </row>
    <row r="13">
      <c r="A13" s="4" t="inlineStr">
        <is>
          <t>Paper start date</t>
        </is>
      </c>
      <c r="B13" s="5" t="inlineStr">
        <is>
          <t>2026-06-16</t>
        </is>
      </c>
    </row>
    <row r="14">
      <c r="A14" s="4" t="inlineStr">
        <is>
          <t>Paper end date</t>
        </is>
      </c>
      <c r="B14" s="5" t="inlineStr">
        <is>
          <t>2026-07-27 (30 trading days)</t>
        </is>
      </c>
    </row>
    <row r="16">
      <c r="A16" s="3" t="inlineStr">
        <is>
          <t>REGIME RULES (Policy C)</t>
        </is>
      </c>
      <c r="B16" s="51" t="n"/>
    </row>
    <row r="17">
      <c r="A17" s="6" t="inlineStr">
        <is>
          <t>Bull</t>
        </is>
      </c>
      <c r="B17" s="7" t="inlineStr">
        <is>
          <t>Nifty &gt; 200DMA  AND  50DMA &gt; 200DMA  →  Hold/Enter positions</t>
        </is>
      </c>
    </row>
    <row r="18">
      <c r="A18" s="6" t="inlineStr">
        <is>
          <t>Flat</t>
        </is>
      </c>
      <c r="B18" s="7" t="inlineStr">
        <is>
          <t>Nifty &gt; 200DMA  AND  50DMA ≤ 200DMA  →  Hold/Enter positions</t>
        </is>
      </c>
    </row>
    <row r="19">
      <c r="A19" s="8" t="inlineStr">
        <is>
          <t>Bear</t>
        </is>
      </c>
      <c r="B19" s="9" t="inlineStr">
        <is>
          <t>Nifty &lt; 200DMA  →  Exit ALL positions. 100% cash. Skip rebalance.</t>
        </is>
      </c>
    </row>
    <row r="21">
      <c r="A21" s="3" t="inlineStr">
        <is>
          <t>SHEET GUIDE</t>
        </is>
      </c>
      <c r="B21" s="51" t="n"/>
    </row>
    <row r="22">
      <c r="A22" s="10" t="inlineStr">
        <is>
          <t>1. INSTRUCTIONS</t>
        </is>
      </c>
      <c r="B22" s="11" t="inlineStr">
        <is>
          <t>This sheet — strategy params, color codes, sheet guide</t>
        </is>
      </c>
    </row>
    <row r="23">
      <c r="A23" s="10" t="inlineStr">
        <is>
          <t>2. Daily_Ops_Log</t>
        </is>
      </c>
      <c r="B23" s="11" t="inlineStr">
        <is>
          <t>PRIMARY daily sheet. Enter Nifty data every morning. Regime auto-classifies.</t>
        </is>
      </c>
    </row>
    <row r="24">
      <c r="A24" s="10" t="inlineStr">
        <is>
          <t>3. Position_Log</t>
        </is>
      </c>
      <c r="B24" s="11" t="inlineStr">
        <is>
          <t>Track all open positions. Enter fills. SL levels auto-calculate.</t>
        </is>
      </c>
    </row>
    <row r="25">
      <c r="A25" s="10" t="inlineStr">
        <is>
          <t>4. Trade_Log</t>
        </is>
      </c>
      <c r="B25" s="11" t="inlineStr">
        <is>
          <t>Record every completed trade (exit). P&amp;L and return auto-calculate.</t>
        </is>
      </c>
    </row>
    <row r="26">
      <c r="A26" s="10" t="inlineStr">
        <is>
          <t>5. Rebalance_Log</t>
        </is>
      </c>
      <c r="B26" s="11" t="inlineStr">
        <is>
          <t>One row per rebalance event (Days 10, 20, 30 of paper period).</t>
        </is>
      </c>
    </row>
    <row r="27">
      <c r="A27" s="10" t="inlineStr">
        <is>
          <t>6. Monthly_Dashboard</t>
        </is>
      </c>
      <c r="B27" s="11" t="inlineStr">
        <is>
          <t>Pulls live metrics from Trade Log. No manual entry needed.</t>
        </is>
      </c>
    </row>
    <row r="28">
      <c r="A28" s="10" t="inlineStr">
        <is>
          <t>7. Slippage_Tracker</t>
        </is>
      </c>
      <c r="B28" s="11" t="inlineStr">
        <is>
          <t>Compare simulated vs actual fills. Slippage auto-calculates.</t>
        </is>
      </c>
    </row>
    <row r="29">
      <c r="A29" s="10" t="inlineStr">
        <is>
          <t>8. Daily_Checklist</t>
        </is>
      </c>
      <c r="B29" s="11" t="inlineStr">
        <is>
          <t>Print this. 10-minute morning routine. Tick boxes.</t>
        </is>
      </c>
    </row>
    <row r="30">
      <c r="A30" s="10" t="inlineStr">
        <is>
          <t>9. Rebalance_Checklist</t>
        </is>
      </c>
      <c r="B30" s="11" t="inlineStr">
        <is>
          <t>Print this. Use on every 10th trading day.</t>
        </is>
      </c>
    </row>
    <row r="31">
      <c r="A31" s="10" t="inlineStr">
        <is>
          <t>10. Emergency_Card</t>
        </is>
      </c>
      <c r="B31" s="11" t="inlineStr">
        <is>
          <t>Print this. One page. What to do when things break.</t>
        </is>
      </c>
    </row>
    <row r="33">
      <c r="A33" s="3" t="inlineStr">
        <is>
          <t>COLOUR CODE KEY</t>
        </is>
      </c>
      <c r="B33" s="51" t="n"/>
    </row>
    <row r="34">
      <c r="A34" s="12" t="inlineStr">
        <is>
          <t>Blue bold text</t>
        </is>
      </c>
      <c r="B34" s="13" t="inlineStr">
        <is>
          <t>Hardcoded input — enter this value yourself</t>
        </is>
      </c>
    </row>
    <row r="35">
      <c r="A35" s="14" t="inlineStr">
        <is>
          <t>Black text</t>
        </is>
      </c>
      <c r="B35" s="15" t="inlineStr">
        <is>
          <t>Formula — calculated automatically</t>
        </is>
      </c>
    </row>
    <row r="36">
      <c r="A36" s="16" t="inlineStr">
        <is>
          <t>Green text</t>
        </is>
      </c>
      <c r="B36" s="17" t="inlineStr">
        <is>
          <t>Cross-sheet link — pulls from another tab</t>
        </is>
      </c>
    </row>
    <row r="37">
      <c r="A37" s="18" t="inlineStr">
        <is>
          <t>Yellow background</t>
        </is>
      </c>
      <c r="B37" s="19" t="inlineStr">
        <is>
          <t>Cell requires user input every day/rebalance</t>
        </is>
      </c>
    </row>
    <row r="38">
      <c r="A38" s="6" t="inlineStr">
        <is>
          <t>Green background</t>
        </is>
      </c>
      <c r="B38" s="7" t="inlineStr">
        <is>
          <t>Bull/Flat regime — OK to trade</t>
        </is>
      </c>
    </row>
    <row r="39">
      <c r="A39" s="8" t="inlineStr">
        <is>
          <t>Red background</t>
        </is>
      </c>
      <c r="B39" s="9" t="inlineStr">
        <is>
          <t>Bear regime — cash only</t>
        </is>
      </c>
    </row>
    <row r="40">
      <c r="A40" s="20" t="inlineStr">
        <is>
          <t>Orange background</t>
        </is>
      </c>
      <c r="B40" s="21" t="inlineStr">
        <is>
          <t>Warning / attention required</t>
        </is>
      </c>
    </row>
  </sheetData>
  <mergeCells count="6">
    <mergeCell ref="A4:B4"/>
    <mergeCell ref="A21:B21"/>
    <mergeCell ref="A16:B16"/>
    <mergeCell ref="A2:B2"/>
    <mergeCell ref="A33:B33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6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1" customWidth="1" min="9" max="9"/>
    <col width="22" customWidth="1" min="10" max="10"/>
    <col width="20" customWidth="1" min="11" max="11"/>
    <col width="20" customWidth="1" min="12" max="12"/>
    <col width="30" customWidth="1" min="13" max="13"/>
  </cols>
  <sheetData>
    <row r="1" ht="28" customHeight="1">
      <c r="A1" s="22" t="inlineStr">
        <is>
          <t>DAILY OPERATIONS LOG  —  MoneyBot RS60/EP40  |  Paper Trading 2026-06-16 to 2026-07-27</t>
        </is>
      </c>
    </row>
    <row r="2">
      <c r="A2" s="23" t="inlineStr">
        <is>
          <t>Enter YELLOW cells every morning before 9:10 AM. Regime auto-classifies. Rebalance days highlighted in blue.</t>
        </is>
      </c>
    </row>
    <row r="3" ht="32" customHeight="1">
      <c r="A3" s="24" t="inlineStr">
        <is>
          <t>#</t>
        </is>
      </c>
      <c r="B3" s="24" t="inlineStr">
        <is>
          <t>Date</t>
        </is>
      </c>
      <c r="C3" s="24" t="inlineStr">
        <is>
          <t>Nifty
Close</t>
        </is>
      </c>
      <c r="D3" s="24" t="inlineStr">
        <is>
          <t>50-DMA
(enter)</t>
        </is>
      </c>
      <c r="E3" s="24" t="inlineStr">
        <is>
          <t>200-DMA
(enter)</t>
        </is>
      </c>
      <c r="F3" s="24" t="inlineStr">
        <is>
          <t>50&gt;200?</t>
        </is>
      </c>
      <c r="G3" s="24" t="inlineStr">
        <is>
          <t>Regime</t>
        </is>
      </c>
      <c r="H3" s="24" t="inlineStr">
        <is>
          <t>Portfolio
Value (Rs)</t>
        </is>
      </c>
      <c r="I3" s="24" t="inlineStr">
        <is>
          <t>Daily
P&amp;L (Rs)</t>
        </is>
      </c>
      <c r="J3" s="24" t="inlineStr">
        <is>
          <t>SL Exits
(symbols)</t>
        </is>
      </c>
      <c r="K3" s="24" t="inlineStr">
        <is>
          <t>Regime
Exit?</t>
        </is>
      </c>
      <c r="L3" s="24" t="inlineStr">
        <is>
          <t>Rebalance
Day?</t>
        </is>
      </c>
      <c r="M3" s="24" t="inlineStr">
        <is>
          <t>Notes</t>
        </is>
      </c>
    </row>
    <row r="4">
      <c r="A4" s="25" t="n">
        <v>1</v>
      </c>
      <c r="B4" s="114" t="n">
        <v>46189</v>
      </c>
      <c r="C4" s="27" t="inlineStr"/>
      <c r="D4" s="27" t="inlineStr"/>
      <c r="E4" s="27" t="inlineStr"/>
      <c r="F4" s="25">
        <f>IF(D4=""," ",IF(D4&gt;E4,"YES","NO"))</f>
        <v/>
      </c>
      <c r="G4" s="28">
        <f>IF(C4="","—",IF(C4&lt;E4,"BEAR",IF(D4&gt;E4,"BULL","FLAT")))</f>
        <v/>
      </c>
      <c r="H4" s="115" t="n">
        <v>5000</v>
      </c>
      <c r="I4" s="25" t="inlineStr">
        <is>
          <t>—</t>
        </is>
      </c>
      <c r="J4" s="13" t="inlineStr"/>
      <c r="K4" s="30" t="inlineStr">
        <is>
          <t>—</t>
        </is>
      </c>
      <c r="L4" s="31" t="inlineStr">
        <is>
          <t>—</t>
        </is>
      </c>
      <c r="M4" s="13" t="inlineStr"/>
    </row>
    <row r="5">
      <c r="A5" s="32" t="n">
        <v>2</v>
      </c>
      <c r="B5" s="116" t="n">
        <v>46190</v>
      </c>
      <c r="C5" s="27" t="inlineStr"/>
      <c r="D5" s="27" t="inlineStr"/>
      <c r="E5" s="27" t="inlineStr"/>
      <c r="F5" s="32">
        <f>IF(D5=""," ",IF(D5&gt;E5,"YES","NO"))</f>
        <v/>
      </c>
      <c r="G5" s="34">
        <f>IF(C5="","—",IF(C5&lt;E5,"BEAR",IF(D5&gt;E5,"BULL","FLAT")))</f>
        <v/>
      </c>
      <c r="H5" s="115" t="inlineStr"/>
      <c r="I5" s="117">
        <f>IF(H5="","",H5-H4)</f>
        <v/>
      </c>
      <c r="J5" s="13" t="inlineStr"/>
      <c r="K5" s="30" t="inlineStr">
        <is>
          <t>—</t>
        </is>
      </c>
      <c r="L5" s="36" t="inlineStr">
        <is>
          <t>—</t>
        </is>
      </c>
      <c r="M5" s="13" t="inlineStr"/>
    </row>
    <row r="6">
      <c r="A6" s="25" t="n">
        <v>3</v>
      </c>
      <c r="B6" s="114" t="n">
        <v>46191</v>
      </c>
      <c r="C6" s="27" t="inlineStr"/>
      <c r="D6" s="27" t="inlineStr"/>
      <c r="E6" s="27" t="inlineStr"/>
      <c r="F6" s="25">
        <f>IF(D6=""," ",IF(D6&gt;E6,"YES","NO"))</f>
        <v/>
      </c>
      <c r="G6" s="28">
        <f>IF(C6="","—",IF(C6&lt;E6,"BEAR",IF(D6&gt;E6,"BULL","FLAT")))</f>
        <v/>
      </c>
      <c r="H6" s="115" t="inlineStr"/>
      <c r="I6" s="118">
        <f>IF(H6="","",H6-H5)</f>
        <v/>
      </c>
      <c r="J6" s="13" t="inlineStr"/>
      <c r="K6" s="30" t="inlineStr">
        <is>
          <t>—</t>
        </is>
      </c>
      <c r="L6" s="31" t="inlineStr">
        <is>
          <t>—</t>
        </is>
      </c>
      <c r="M6" s="13" t="inlineStr"/>
    </row>
    <row r="7">
      <c r="A7" s="32" t="n">
        <v>4</v>
      </c>
      <c r="B7" s="116" t="n">
        <v>46192</v>
      </c>
      <c r="C7" s="27" t="inlineStr"/>
      <c r="D7" s="27" t="inlineStr"/>
      <c r="E7" s="27" t="inlineStr"/>
      <c r="F7" s="32">
        <f>IF(D7=""," ",IF(D7&gt;E7,"YES","NO"))</f>
        <v/>
      </c>
      <c r="G7" s="34">
        <f>IF(C7="","—",IF(C7&lt;E7,"BEAR",IF(D7&gt;E7,"BULL","FLAT")))</f>
        <v/>
      </c>
      <c r="H7" s="115" t="inlineStr"/>
      <c r="I7" s="117">
        <f>IF(H7="","",H7-H6)</f>
        <v/>
      </c>
      <c r="J7" s="13" t="inlineStr"/>
      <c r="K7" s="30" t="inlineStr">
        <is>
          <t>—</t>
        </is>
      </c>
      <c r="L7" s="36" t="inlineStr">
        <is>
          <t>—</t>
        </is>
      </c>
      <c r="M7" s="13" t="inlineStr"/>
    </row>
    <row r="8">
      <c r="A8" s="25" t="n">
        <v>5</v>
      </c>
      <c r="B8" s="114" t="n">
        <v>46195</v>
      </c>
      <c r="C8" s="27" t="inlineStr"/>
      <c r="D8" s="27" t="inlineStr"/>
      <c r="E8" s="27" t="inlineStr"/>
      <c r="F8" s="25">
        <f>IF(D8=""," ",IF(D8&gt;E8,"YES","NO"))</f>
        <v/>
      </c>
      <c r="G8" s="28">
        <f>IF(C8="","—",IF(C8&lt;E8,"BEAR",IF(D8&gt;E8,"BULL","FLAT")))</f>
        <v/>
      </c>
      <c r="H8" s="115" t="inlineStr"/>
      <c r="I8" s="118">
        <f>IF(H8="","",H8-H7)</f>
        <v/>
      </c>
      <c r="J8" s="13" t="inlineStr"/>
      <c r="K8" s="30" t="inlineStr">
        <is>
          <t>—</t>
        </is>
      </c>
      <c r="L8" s="31" t="inlineStr">
        <is>
          <t>—</t>
        </is>
      </c>
      <c r="M8" s="13" t="inlineStr"/>
    </row>
    <row r="9">
      <c r="A9" s="32" t="n">
        <v>6</v>
      </c>
      <c r="B9" s="116" t="n">
        <v>46196</v>
      </c>
      <c r="C9" s="27" t="inlineStr"/>
      <c r="D9" s="27" t="inlineStr"/>
      <c r="E9" s="27" t="inlineStr"/>
      <c r="F9" s="32">
        <f>IF(D9=""," ",IF(D9&gt;E9,"YES","NO"))</f>
        <v/>
      </c>
      <c r="G9" s="34">
        <f>IF(C9="","—",IF(C9&lt;E9,"BEAR",IF(D9&gt;E9,"BULL","FLAT")))</f>
        <v/>
      </c>
      <c r="H9" s="115" t="inlineStr"/>
      <c r="I9" s="117">
        <f>IF(H9="","",H9-H8)</f>
        <v/>
      </c>
      <c r="J9" s="13" t="inlineStr"/>
      <c r="K9" s="30" t="inlineStr">
        <is>
          <t>—</t>
        </is>
      </c>
      <c r="L9" s="36" t="inlineStr">
        <is>
          <t>—</t>
        </is>
      </c>
      <c r="M9" s="13" t="inlineStr"/>
    </row>
    <row r="10">
      <c r="A10" s="25" t="n">
        <v>7</v>
      </c>
      <c r="B10" s="114" t="n">
        <v>46197</v>
      </c>
      <c r="C10" s="27" t="inlineStr"/>
      <c r="D10" s="27" t="inlineStr"/>
      <c r="E10" s="27" t="inlineStr"/>
      <c r="F10" s="25">
        <f>IF(D10=""," ",IF(D10&gt;E10,"YES","NO"))</f>
        <v/>
      </c>
      <c r="G10" s="28">
        <f>IF(C10="","—",IF(C10&lt;E10,"BEAR",IF(D10&gt;E10,"BULL","FLAT")))</f>
        <v/>
      </c>
      <c r="H10" s="115" t="inlineStr"/>
      <c r="I10" s="118">
        <f>IF(H10="","",H10-H9)</f>
        <v/>
      </c>
      <c r="J10" s="13" t="inlineStr"/>
      <c r="K10" s="30" t="inlineStr">
        <is>
          <t>—</t>
        </is>
      </c>
      <c r="L10" s="31" t="inlineStr">
        <is>
          <t>—</t>
        </is>
      </c>
      <c r="M10" s="13" t="inlineStr"/>
    </row>
    <row r="11">
      <c r="A11" s="32" t="n">
        <v>8</v>
      </c>
      <c r="B11" s="116" t="n">
        <v>46198</v>
      </c>
      <c r="C11" s="27" t="inlineStr"/>
      <c r="D11" s="27" t="inlineStr"/>
      <c r="E11" s="27" t="inlineStr"/>
      <c r="F11" s="32">
        <f>IF(D11=""," ",IF(D11&gt;E11,"YES","NO"))</f>
        <v/>
      </c>
      <c r="G11" s="34">
        <f>IF(C11="","—",IF(C11&lt;E11,"BEAR",IF(D11&gt;E11,"BULL","FLAT")))</f>
        <v/>
      </c>
      <c r="H11" s="115" t="inlineStr"/>
      <c r="I11" s="117">
        <f>IF(H11="","",H11-H10)</f>
        <v/>
      </c>
      <c r="J11" s="13" t="inlineStr"/>
      <c r="K11" s="30" t="inlineStr">
        <is>
          <t>—</t>
        </is>
      </c>
      <c r="L11" s="36" t="inlineStr">
        <is>
          <t>—</t>
        </is>
      </c>
      <c r="M11" s="13" t="inlineStr"/>
    </row>
    <row r="12">
      <c r="A12" s="25" t="n">
        <v>9</v>
      </c>
      <c r="B12" s="114" t="n">
        <v>46199</v>
      </c>
      <c r="C12" s="27" t="inlineStr"/>
      <c r="D12" s="27" t="inlineStr"/>
      <c r="E12" s="27" t="inlineStr"/>
      <c r="F12" s="25">
        <f>IF(D12=""," ",IF(D12&gt;E12,"YES","NO"))</f>
        <v/>
      </c>
      <c r="G12" s="28">
        <f>IF(C12="","—",IF(C12&lt;E12,"BEAR",IF(D12&gt;E12,"BULL","FLAT")))</f>
        <v/>
      </c>
      <c r="H12" s="115" t="inlineStr"/>
      <c r="I12" s="118">
        <f>IF(H12="","",H12-H11)</f>
        <v/>
      </c>
      <c r="J12" s="13" t="inlineStr"/>
      <c r="K12" s="30" t="inlineStr">
        <is>
          <t>—</t>
        </is>
      </c>
      <c r="L12" s="31" t="inlineStr">
        <is>
          <t>—</t>
        </is>
      </c>
      <c r="M12" s="13" t="inlineStr"/>
    </row>
    <row r="13">
      <c r="A13" s="38" t="n">
        <v>10</v>
      </c>
      <c r="B13" s="119" t="n">
        <v>46202</v>
      </c>
      <c r="C13" s="27" t="inlineStr"/>
      <c r="D13" s="27" t="inlineStr"/>
      <c r="E13" s="27" t="inlineStr"/>
      <c r="F13" s="40">
        <f>IF(D13=""," ",IF(D13&gt;E13,"YES","NO"))</f>
        <v/>
      </c>
      <c r="G13" s="38">
        <f>IF(C13="","—",IF(C13&lt;E13,"BEAR",IF(D13&gt;E13,"BULL","FLAT")))</f>
        <v/>
      </c>
      <c r="H13" s="115" t="inlineStr"/>
      <c r="I13" s="120">
        <f>IF(H13="","",H13-H12)</f>
        <v/>
      </c>
      <c r="J13" s="13" t="inlineStr"/>
      <c r="K13" s="30" t="inlineStr">
        <is>
          <t>—</t>
        </is>
      </c>
      <c r="L13" s="42" t="inlineStr">
        <is>
          <t>REBAL</t>
        </is>
      </c>
      <c r="M13" s="13" t="inlineStr"/>
    </row>
    <row r="14">
      <c r="A14" s="25" t="n">
        <v>11</v>
      </c>
      <c r="B14" s="114" t="n">
        <v>46203</v>
      </c>
      <c r="C14" s="27" t="inlineStr"/>
      <c r="D14" s="27" t="inlineStr"/>
      <c r="E14" s="27" t="inlineStr"/>
      <c r="F14" s="25">
        <f>IF(D14=""," ",IF(D14&gt;E14,"YES","NO"))</f>
        <v/>
      </c>
      <c r="G14" s="28">
        <f>IF(C14="","—",IF(C14&lt;E14,"BEAR",IF(D14&gt;E14,"BULL","FLAT")))</f>
        <v/>
      </c>
      <c r="H14" s="115" t="inlineStr"/>
      <c r="I14" s="118">
        <f>IF(H14="","",H14-H13)</f>
        <v/>
      </c>
      <c r="J14" s="13" t="inlineStr"/>
      <c r="K14" s="30" t="inlineStr">
        <is>
          <t>—</t>
        </is>
      </c>
      <c r="L14" s="31" t="inlineStr">
        <is>
          <t>—</t>
        </is>
      </c>
      <c r="M14" s="13" t="inlineStr"/>
    </row>
    <row r="15">
      <c r="A15" s="32" t="n">
        <v>12</v>
      </c>
      <c r="B15" s="116" t="n">
        <v>46204</v>
      </c>
      <c r="C15" s="27" t="inlineStr"/>
      <c r="D15" s="27" t="inlineStr"/>
      <c r="E15" s="27" t="inlineStr"/>
      <c r="F15" s="32">
        <f>IF(D15=""," ",IF(D15&gt;E15,"YES","NO"))</f>
        <v/>
      </c>
      <c r="G15" s="34">
        <f>IF(C15="","—",IF(C15&lt;E15,"BEAR",IF(D15&gt;E15,"BULL","FLAT")))</f>
        <v/>
      </c>
      <c r="H15" s="115" t="inlineStr"/>
      <c r="I15" s="117">
        <f>IF(H15="","",H15-H14)</f>
        <v/>
      </c>
      <c r="J15" s="13" t="inlineStr"/>
      <c r="K15" s="30" t="inlineStr">
        <is>
          <t>—</t>
        </is>
      </c>
      <c r="L15" s="36" t="inlineStr">
        <is>
          <t>—</t>
        </is>
      </c>
      <c r="M15" s="13" t="inlineStr"/>
    </row>
    <row r="16">
      <c r="A16" s="25" t="n">
        <v>13</v>
      </c>
      <c r="B16" s="114" t="n">
        <v>46205</v>
      </c>
      <c r="C16" s="27" t="inlineStr"/>
      <c r="D16" s="27" t="inlineStr"/>
      <c r="E16" s="27" t="inlineStr"/>
      <c r="F16" s="25">
        <f>IF(D16=""," ",IF(D16&gt;E16,"YES","NO"))</f>
        <v/>
      </c>
      <c r="G16" s="28">
        <f>IF(C16="","—",IF(C16&lt;E16,"BEAR",IF(D16&gt;E16,"BULL","FLAT")))</f>
        <v/>
      </c>
      <c r="H16" s="115" t="inlineStr"/>
      <c r="I16" s="118">
        <f>IF(H16="","",H16-H15)</f>
        <v/>
      </c>
      <c r="J16" s="13" t="inlineStr"/>
      <c r="K16" s="30" t="inlineStr">
        <is>
          <t>—</t>
        </is>
      </c>
      <c r="L16" s="31" t="inlineStr">
        <is>
          <t>—</t>
        </is>
      </c>
      <c r="M16" s="13" t="inlineStr"/>
    </row>
    <row r="17">
      <c r="A17" s="32" t="n">
        <v>14</v>
      </c>
      <c r="B17" s="116" t="n">
        <v>46206</v>
      </c>
      <c r="C17" s="27" t="inlineStr"/>
      <c r="D17" s="27" t="inlineStr"/>
      <c r="E17" s="27" t="inlineStr"/>
      <c r="F17" s="32">
        <f>IF(D17=""," ",IF(D17&gt;E17,"YES","NO"))</f>
        <v/>
      </c>
      <c r="G17" s="34">
        <f>IF(C17="","—",IF(C17&lt;E17,"BEAR",IF(D17&gt;E17,"BULL","FLAT")))</f>
        <v/>
      </c>
      <c r="H17" s="115" t="inlineStr"/>
      <c r="I17" s="117">
        <f>IF(H17="","",H17-H16)</f>
        <v/>
      </c>
      <c r="J17" s="13" t="inlineStr"/>
      <c r="K17" s="30" t="inlineStr">
        <is>
          <t>—</t>
        </is>
      </c>
      <c r="L17" s="36" t="inlineStr">
        <is>
          <t>—</t>
        </is>
      </c>
      <c r="M17" s="13" t="inlineStr"/>
    </row>
    <row r="18">
      <c r="A18" s="25" t="n">
        <v>15</v>
      </c>
      <c r="B18" s="114" t="n">
        <v>46209</v>
      </c>
      <c r="C18" s="27" t="inlineStr"/>
      <c r="D18" s="27" t="inlineStr"/>
      <c r="E18" s="27" t="inlineStr"/>
      <c r="F18" s="25">
        <f>IF(D18=""," ",IF(D18&gt;E18,"YES","NO"))</f>
        <v/>
      </c>
      <c r="G18" s="28">
        <f>IF(C18="","—",IF(C18&lt;E18,"BEAR",IF(D18&gt;E18,"BULL","FLAT")))</f>
        <v/>
      </c>
      <c r="H18" s="115" t="inlineStr"/>
      <c r="I18" s="118">
        <f>IF(H18="","",H18-H17)</f>
        <v/>
      </c>
      <c r="J18" s="13" t="inlineStr"/>
      <c r="K18" s="30" t="inlineStr">
        <is>
          <t>—</t>
        </is>
      </c>
      <c r="L18" s="31" t="inlineStr">
        <is>
          <t>—</t>
        </is>
      </c>
      <c r="M18" s="13" t="inlineStr"/>
    </row>
    <row r="19">
      <c r="A19" s="32" t="n">
        <v>16</v>
      </c>
      <c r="B19" s="116" t="n">
        <v>46210</v>
      </c>
      <c r="C19" s="27" t="inlineStr"/>
      <c r="D19" s="27" t="inlineStr"/>
      <c r="E19" s="27" t="inlineStr"/>
      <c r="F19" s="32">
        <f>IF(D19=""," ",IF(D19&gt;E19,"YES","NO"))</f>
        <v/>
      </c>
      <c r="G19" s="34">
        <f>IF(C19="","—",IF(C19&lt;E19,"BEAR",IF(D19&gt;E19,"BULL","FLAT")))</f>
        <v/>
      </c>
      <c r="H19" s="115" t="inlineStr"/>
      <c r="I19" s="117">
        <f>IF(H19="","",H19-H18)</f>
        <v/>
      </c>
      <c r="J19" s="13" t="inlineStr"/>
      <c r="K19" s="30" t="inlineStr">
        <is>
          <t>—</t>
        </is>
      </c>
      <c r="L19" s="36" t="inlineStr">
        <is>
          <t>—</t>
        </is>
      </c>
      <c r="M19" s="13" t="inlineStr"/>
    </row>
    <row r="20">
      <c r="A20" s="25" t="n">
        <v>17</v>
      </c>
      <c r="B20" s="114" t="n">
        <v>46211</v>
      </c>
      <c r="C20" s="27" t="inlineStr"/>
      <c r="D20" s="27" t="inlineStr"/>
      <c r="E20" s="27" t="inlineStr"/>
      <c r="F20" s="25">
        <f>IF(D20=""," ",IF(D20&gt;E20,"YES","NO"))</f>
        <v/>
      </c>
      <c r="G20" s="28">
        <f>IF(C20="","—",IF(C20&lt;E20,"BEAR",IF(D20&gt;E20,"BULL","FLAT")))</f>
        <v/>
      </c>
      <c r="H20" s="115" t="inlineStr"/>
      <c r="I20" s="118">
        <f>IF(H20="","",H20-H19)</f>
        <v/>
      </c>
      <c r="J20" s="13" t="inlineStr"/>
      <c r="K20" s="30" t="inlineStr">
        <is>
          <t>—</t>
        </is>
      </c>
      <c r="L20" s="31" t="inlineStr">
        <is>
          <t>—</t>
        </is>
      </c>
      <c r="M20" s="13" t="inlineStr"/>
    </row>
    <row r="21">
      <c r="A21" s="32" t="n">
        <v>18</v>
      </c>
      <c r="B21" s="116" t="n">
        <v>46212</v>
      </c>
      <c r="C21" s="27" t="inlineStr"/>
      <c r="D21" s="27" t="inlineStr"/>
      <c r="E21" s="27" t="inlineStr"/>
      <c r="F21" s="32">
        <f>IF(D21=""," ",IF(D21&gt;E21,"YES","NO"))</f>
        <v/>
      </c>
      <c r="G21" s="34">
        <f>IF(C21="","—",IF(C21&lt;E21,"BEAR",IF(D21&gt;E21,"BULL","FLAT")))</f>
        <v/>
      </c>
      <c r="H21" s="115" t="inlineStr"/>
      <c r="I21" s="117">
        <f>IF(H21="","",H21-H20)</f>
        <v/>
      </c>
      <c r="J21" s="13" t="inlineStr"/>
      <c r="K21" s="30" t="inlineStr">
        <is>
          <t>—</t>
        </is>
      </c>
      <c r="L21" s="36" t="inlineStr">
        <is>
          <t>—</t>
        </is>
      </c>
      <c r="M21" s="13" t="inlineStr"/>
    </row>
    <row r="22">
      <c r="A22" s="25" t="n">
        <v>19</v>
      </c>
      <c r="B22" s="114" t="n">
        <v>46213</v>
      </c>
      <c r="C22" s="27" t="inlineStr"/>
      <c r="D22" s="27" t="inlineStr"/>
      <c r="E22" s="27" t="inlineStr"/>
      <c r="F22" s="25">
        <f>IF(D22=""," ",IF(D22&gt;E22,"YES","NO"))</f>
        <v/>
      </c>
      <c r="G22" s="28">
        <f>IF(C22="","—",IF(C22&lt;E22,"BEAR",IF(D22&gt;E22,"BULL","FLAT")))</f>
        <v/>
      </c>
      <c r="H22" s="115" t="inlineStr"/>
      <c r="I22" s="118">
        <f>IF(H22="","",H22-H21)</f>
        <v/>
      </c>
      <c r="J22" s="13" t="inlineStr"/>
      <c r="K22" s="30" t="inlineStr">
        <is>
          <t>—</t>
        </is>
      </c>
      <c r="L22" s="31" t="inlineStr">
        <is>
          <t>—</t>
        </is>
      </c>
      <c r="M22" s="13" t="inlineStr"/>
    </row>
    <row r="23">
      <c r="A23" s="38" t="n">
        <v>20</v>
      </c>
      <c r="B23" s="119" t="n">
        <v>46216</v>
      </c>
      <c r="C23" s="27" t="inlineStr"/>
      <c r="D23" s="27" t="inlineStr"/>
      <c r="E23" s="27" t="inlineStr"/>
      <c r="F23" s="40">
        <f>IF(D23=""," ",IF(D23&gt;E23,"YES","NO"))</f>
        <v/>
      </c>
      <c r="G23" s="38">
        <f>IF(C23="","—",IF(C23&lt;E23,"BEAR",IF(D23&gt;E23,"BULL","FLAT")))</f>
        <v/>
      </c>
      <c r="H23" s="115" t="inlineStr"/>
      <c r="I23" s="120">
        <f>IF(H23="","",H23-H22)</f>
        <v/>
      </c>
      <c r="J23" s="13" t="inlineStr"/>
      <c r="K23" s="30" t="inlineStr">
        <is>
          <t>—</t>
        </is>
      </c>
      <c r="L23" s="42" t="inlineStr">
        <is>
          <t>REBAL</t>
        </is>
      </c>
      <c r="M23" s="13" t="inlineStr"/>
    </row>
    <row r="24">
      <c r="A24" s="25" t="n">
        <v>21</v>
      </c>
      <c r="B24" s="114" t="n">
        <v>46217</v>
      </c>
      <c r="C24" s="27" t="inlineStr"/>
      <c r="D24" s="27" t="inlineStr"/>
      <c r="E24" s="27" t="inlineStr"/>
      <c r="F24" s="25">
        <f>IF(D24=""," ",IF(D24&gt;E24,"YES","NO"))</f>
        <v/>
      </c>
      <c r="G24" s="28">
        <f>IF(C24="","—",IF(C24&lt;E24,"BEAR",IF(D24&gt;E24,"BULL","FLAT")))</f>
        <v/>
      </c>
      <c r="H24" s="115" t="inlineStr"/>
      <c r="I24" s="118">
        <f>IF(H24="","",H24-H23)</f>
        <v/>
      </c>
      <c r="J24" s="13" t="inlineStr"/>
      <c r="K24" s="30" t="inlineStr">
        <is>
          <t>—</t>
        </is>
      </c>
      <c r="L24" s="31" t="inlineStr">
        <is>
          <t>—</t>
        </is>
      </c>
      <c r="M24" s="13" t="inlineStr"/>
    </row>
    <row r="25">
      <c r="A25" s="32" t="n">
        <v>22</v>
      </c>
      <c r="B25" s="116" t="n">
        <v>46218</v>
      </c>
      <c r="C25" s="27" t="inlineStr"/>
      <c r="D25" s="27" t="inlineStr"/>
      <c r="E25" s="27" t="inlineStr"/>
      <c r="F25" s="32">
        <f>IF(D25=""," ",IF(D25&gt;E25,"YES","NO"))</f>
        <v/>
      </c>
      <c r="G25" s="34">
        <f>IF(C25="","—",IF(C25&lt;E25,"BEAR",IF(D25&gt;E25,"BULL","FLAT")))</f>
        <v/>
      </c>
      <c r="H25" s="115" t="inlineStr"/>
      <c r="I25" s="117">
        <f>IF(H25="","",H25-H24)</f>
        <v/>
      </c>
      <c r="J25" s="13" t="inlineStr"/>
      <c r="K25" s="30" t="inlineStr">
        <is>
          <t>—</t>
        </is>
      </c>
      <c r="L25" s="36" t="inlineStr">
        <is>
          <t>—</t>
        </is>
      </c>
      <c r="M25" s="13" t="inlineStr"/>
    </row>
    <row r="26">
      <c r="A26" s="25" t="n">
        <v>23</v>
      </c>
      <c r="B26" s="114" t="n">
        <v>46219</v>
      </c>
      <c r="C26" s="27" t="inlineStr"/>
      <c r="D26" s="27" t="inlineStr"/>
      <c r="E26" s="27" t="inlineStr"/>
      <c r="F26" s="25">
        <f>IF(D26=""," ",IF(D26&gt;E26,"YES","NO"))</f>
        <v/>
      </c>
      <c r="G26" s="28">
        <f>IF(C26="","—",IF(C26&lt;E26,"BEAR",IF(D26&gt;E26,"BULL","FLAT")))</f>
        <v/>
      </c>
      <c r="H26" s="115" t="inlineStr"/>
      <c r="I26" s="118">
        <f>IF(H26="","",H26-H25)</f>
        <v/>
      </c>
      <c r="J26" s="13" t="inlineStr"/>
      <c r="K26" s="30" t="inlineStr">
        <is>
          <t>—</t>
        </is>
      </c>
      <c r="L26" s="31" t="inlineStr">
        <is>
          <t>—</t>
        </is>
      </c>
      <c r="M26" s="13" t="inlineStr"/>
    </row>
    <row r="27">
      <c r="A27" s="32" t="n">
        <v>24</v>
      </c>
      <c r="B27" s="116" t="n">
        <v>46220</v>
      </c>
      <c r="C27" s="27" t="inlineStr"/>
      <c r="D27" s="27" t="inlineStr"/>
      <c r="E27" s="27" t="inlineStr"/>
      <c r="F27" s="32">
        <f>IF(D27=""," ",IF(D27&gt;E27,"YES","NO"))</f>
        <v/>
      </c>
      <c r="G27" s="34">
        <f>IF(C27="","—",IF(C27&lt;E27,"BEAR",IF(D27&gt;E27,"BULL","FLAT")))</f>
        <v/>
      </c>
      <c r="H27" s="115" t="inlineStr"/>
      <c r="I27" s="117">
        <f>IF(H27="","",H27-H26)</f>
        <v/>
      </c>
      <c r="J27" s="13" t="inlineStr"/>
      <c r="K27" s="30" t="inlineStr">
        <is>
          <t>—</t>
        </is>
      </c>
      <c r="L27" s="36" t="inlineStr">
        <is>
          <t>—</t>
        </is>
      </c>
      <c r="M27" s="13" t="inlineStr"/>
    </row>
    <row r="28">
      <c r="A28" s="25" t="n">
        <v>25</v>
      </c>
      <c r="B28" s="114" t="n">
        <v>46223</v>
      </c>
      <c r="C28" s="27" t="inlineStr"/>
      <c r="D28" s="27" t="inlineStr"/>
      <c r="E28" s="27" t="inlineStr"/>
      <c r="F28" s="25">
        <f>IF(D28=""," ",IF(D28&gt;E28,"YES","NO"))</f>
        <v/>
      </c>
      <c r="G28" s="28">
        <f>IF(C28="","—",IF(C28&lt;E28,"BEAR",IF(D28&gt;E28,"BULL","FLAT")))</f>
        <v/>
      </c>
      <c r="H28" s="115" t="inlineStr"/>
      <c r="I28" s="118">
        <f>IF(H28="","",H28-H27)</f>
        <v/>
      </c>
      <c r="J28" s="13" t="inlineStr"/>
      <c r="K28" s="30" t="inlineStr">
        <is>
          <t>—</t>
        </is>
      </c>
      <c r="L28" s="31" t="inlineStr">
        <is>
          <t>—</t>
        </is>
      </c>
      <c r="M28" s="13" t="inlineStr"/>
    </row>
    <row r="29">
      <c r="A29" s="32" t="n">
        <v>26</v>
      </c>
      <c r="B29" s="116" t="n">
        <v>46224</v>
      </c>
      <c r="C29" s="27" t="inlineStr"/>
      <c r="D29" s="27" t="inlineStr"/>
      <c r="E29" s="27" t="inlineStr"/>
      <c r="F29" s="32">
        <f>IF(D29=""," ",IF(D29&gt;E29,"YES","NO"))</f>
        <v/>
      </c>
      <c r="G29" s="34">
        <f>IF(C29="","—",IF(C29&lt;E29,"BEAR",IF(D29&gt;E29,"BULL","FLAT")))</f>
        <v/>
      </c>
      <c r="H29" s="115" t="inlineStr"/>
      <c r="I29" s="117">
        <f>IF(H29="","",H29-H28)</f>
        <v/>
      </c>
      <c r="J29" s="13" t="inlineStr"/>
      <c r="K29" s="30" t="inlineStr">
        <is>
          <t>—</t>
        </is>
      </c>
      <c r="L29" s="36" t="inlineStr">
        <is>
          <t>—</t>
        </is>
      </c>
      <c r="M29" s="13" t="inlineStr"/>
    </row>
    <row r="30">
      <c r="A30" s="25" t="n">
        <v>27</v>
      </c>
      <c r="B30" s="114" t="n">
        <v>46225</v>
      </c>
      <c r="C30" s="27" t="inlineStr"/>
      <c r="D30" s="27" t="inlineStr"/>
      <c r="E30" s="27" t="inlineStr"/>
      <c r="F30" s="25">
        <f>IF(D30=""," ",IF(D30&gt;E30,"YES","NO"))</f>
        <v/>
      </c>
      <c r="G30" s="28">
        <f>IF(C30="","—",IF(C30&lt;E30,"BEAR",IF(D30&gt;E30,"BULL","FLAT")))</f>
        <v/>
      </c>
      <c r="H30" s="115" t="inlineStr"/>
      <c r="I30" s="118">
        <f>IF(H30="","",H30-H29)</f>
        <v/>
      </c>
      <c r="J30" s="13" t="inlineStr"/>
      <c r="K30" s="30" t="inlineStr">
        <is>
          <t>—</t>
        </is>
      </c>
      <c r="L30" s="31" t="inlineStr">
        <is>
          <t>—</t>
        </is>
      </c>
      <c r="M30" s="13" t="inlineStr"/>
    </row>
    <row r="31">
      <c r="A31" s="32" t="n">
        <v>28</v>
      </c>
      <c r="B31" s="116" t="n">
        <v>46226</v>
      </c>
      <c r="C31" s="27" t="inlineStr"/>
      <c r="D31" s="27" t="inlineStr"/>
      <c r="E31" s="27" t="inlineStr"/>
      <c r="F31" s="32">
        <f>IF(D31=""," ",IF(D31&gt;E31,"YES","NO"))</f>
        <v/>
      </c>
      <c r="G31" s="34">
        <f>IF(C31="","—",IF(C31&lt;E31,"BEAR",IF(D31&gt;E31,"BULL","FLAT")))</f>
        <v/>
      </c>
      <c r="H31" s="115" t="inlineStr"/>
      <c r="I31" s="117">
        <f>IF(H31="","",H31-H30)</f>
        <v/>
      </c>
      <c r="J31" s="13" t="inlineStr"/>
      <c r="K31" s="30" t="inlineStr">
        <is>
          <t>—</t>
        </is>
      </c>
      <c r="L31" s="36" t="inlineStr">
        <is>
          <t>—</t>
        </is>
      </c>
      <c r="M31" s="13" t="inlineStr"/>
    </row>
    <row r="32">
      <c r="A32" s="25" t="n">
        <v>29</v>
      </c>
      <c r="B32" s="114" t="n">
        <v>46227</v>
      </c>
      <c r="C32" s="27" t="inlineStr"/>
      <c r="D32" s="27" t="inlineStr"/>
      <c r="E32" s="27" t="inlineStr"/>
      <c r="F32" s="25">
        <f>IF(D32=""," ",IF(D32&gt;E32,"YES","NO"))</f>
        <v/>
      </c>
      <c r="G32" s="28">
        <f>IF(C32="","—",IF(C32&lt;E32,"BEAR",IF(D32&gt;E32,"BULL","FLAT")))</f>
        <v/>
      </c>
      <c r="H32" s="115" t="inlineStr"/>
      <c r="I32" s="118">
        <f>IF(H32="","",H32-H31)</f>
        <v/>
      </c>
      <c r="J32" s="13" t="inlineStr"/>
      <c r="K32" s="30" t="inlineStr">
        <is>
          <t>—</t>
        </is>
      </c>
      <c r="L32" s="31" t="inlineStr">
        <is>
          <t>—</t>
        </is>
      </c>
      <c r="M32" s="13" t="inlineStr"/>
    </row>
    <row r="33">
      <c r="A33" s="38" t="n">
        <v>30</v>
      </c>
      <c r="B33" s="119" t="n">
        <v>46230</v>
      </c>
      <c r="C33" s="27" t="inlineStr"/>
      <c r="D33" s="27" t="inlineStr"/>
      <c r="E33" s="27" t="inlineStr"/>
      <c r="F33" s="40">
        <f>IF(D33=""," ",IF(D33&gt;E33,"YES","NO"))</f>
        <v/>
      </c>
      <c r="G33" s="38">
        <f>IF(C33="","—",IF(C33&lt;E33,"BEAR",IF(D33&gt;E33,"BULL","FLAT")))</f>
        <v/>
      </c>
      <c r="H33" s="115" t="inlineStr"/>
      <c r="I33" s="120">
        <f>IF(H33="","",H33-H32)</f>
        <v/>
      </c>
      <c r="J33" s="13" t="inlineStr"/>
      <c r="K33" s="30" t="inlineStr">
        <is>
          <t>—</t>
        </is>
      </c>
      <c r="L33" s="42" t="inlineStr">
        <is>
          <t>REBAL</t>
        </is>
      </c>
      <c r="M33" s="13" t="inlineStr"/>
    </row>
    <row r="36">
      <c r="A36" s="43" t="inlineStr">
        <is>
          <t>CURRENT REGIME (2026-06-15):  BEAR  —  Nifty 23,623 &lt; 200DMA 24,921  Hold cash. Do not enter positions until Nifty reclaims 200DMA.</t>
        </is>
      </c>
      <c r="B36" s="121" t="n"/>
      <c r="C36" s="121" t="n"/>
      <c r="D36" s="121" t="n"/>
      <c r="E36" s="121" t="n"/>
      <c r="F36" s="121" t="n"/>
      <c r="G36" s="121" t="n"/>
      <c r="H36" s="121" t="n"/>
      <c r="I36" s="121" t="n"/>
      <c r="J36" s="121" t="n"/>
      <c r="K36" s="121" t="n"/>
      <c r="L36" s="121" t="n"/>
      <c r="M36" s="51" t="n"/>
    </row>
  </sheetData>
  <mergeCells count="3">
    <mergeCell ref="A36:M36"/>
    <mergeCell ref="A2:M2"/>
    <mergeCell ref="A1:M1"/>
  </mergeCells>
  <dataValidations count="30">
    <dataValidation sqref="K4" showDropDown="0" showInputMessage="0" showErrorMessage="0" allowBlank="1" type="list">
      <formula1>"YES,NO,—"</formula1>
    </dataValidation>
    <dataValidation sqref="K5" showDropDown="0" showInputMessage="0" showErrorMessage="0" allowBlank="1" type="list">
      <formula1>"YES,NO,—"</formula1>
    </dataValidation>
    <dataValidation sqref="K6" showDropDown="0" showInputMessage="0" showErrorMessage="0" allowBlank="1" type="list">
      <formula1>"YES,NO,—"</formula1>
    </dataValidation>
    <dataValidation sqref="K7" showDropDown="0" showInputMessage="0" showErrorMessage="0" allowBlank="1" type="list">
      <formula1>"YES,NO,—"</formula1>
    </dataValidation>
    <dataValidation sqref="K8" showDropDown="0" showInputMessage="0" showErrorMessage="0" allowBlank="1" type="list">
      <formula1>"YES,NO,—"</formula1>
    </dataValidation>
    <dataValidation sqref="K9" showDropDown="0" showInputMessage="0" showErrorMessage="0" allowBlank="1" type="list">
      <formula1>"YES,NO,—"</formula1>
    </dataValidation>
    <dataValidation sqref="K10" showDropDown="0" showInputMessage="0" showErrorMessage="0" allowBlank="1" type="list">
      <formula1>"YES,NO,—"</formula1>
    </dataValidation>
    <dataValidation sqref="K11" showDropDown="0" showInputMessage="0" showErrorMessage="0" allowBlank="1" type="list">
      <formula1>"YES,NO,—"</formula1>
    </dataValidation>
    <dataValidation sqref="K12" showDropDown="0" showInputMessage="0" showErrorMessage="0" allowBlank="1" type="list">
      <formula1>"YES,NO,—"</formula1>
    </dataValidation>
    <dataValidation sqref="K13" showDropDown="0" showInputMessage="0" showErrorMessage="0" allowBlank="1" type="list">
      <formula1>"YES,NO,—"</formula1>
    </dataValidation>
    <dataValidation sqref="K14" showDropDown="0" showInputMessage="0" showErrorMessage="0" allowBlank="1" type="list">
      <formula1>"YES,NO,—"</formula1>
    </dataValidation>
    <dataValidation sqref="K15" showDropDown="0" showInputMessage="0" showErrorMessage="0" allowBlank="1" type="list">
      <formula1>"YES,NO,—"</formula1>
    </dataValidation>
    <dataValidation sqref="K16" showDropDown="0" showInputMessage="0" showErrorMessage="0" allowBlank="1" type="list">
      <formula1>"YES,NO,—"</formula1>
    </dataValidation>
    <dataValidation sqref="K17" showDropDown="0" showInputMessage="0" showErrorMessage="0" allowBlank="1" type="list">
      <formula1>"YES,NO,—"</formula1>
    </dataValidation>
    <dataValidation sqref="K18" showDropDown="0" showInputMessage="0" showErrorMessage="0" allowBlank="1" type="list">
      <formula1>"YES,NO,—"</formula1>
    </dataValidation>
    <dataValidation sqref="K19" showDropDown="0" showInputMessage="0" showErrorMessage="0" allowBlank="1" type="list">
      <formula1>"YES,NO,—"</formula1>
    </dataValidation>
    <dataValidation sqref="K20" showDropDown="0" showInputMessage="0" showErrorMessage="0" allowBlank="1" type="list">
      <formula1>"YES,NO,—"</formula1>
    </dataValidation>
    <dataValidation sqref="K21" showDropDown="0" showInputMessage="0" showErrorMessage="0" allowBlank="1" type="list">
      <formula1>"YES,NO,—"</formula1>
    </dataValidation>
    <dataValidation sqref="K22" showDropDown="0" showInputMessage="0" showErrorMessage="0" allowBlank="1" type="list">
      <formula1>"YES,NO,—"</formula1>
    </dataValidation>
    <dataValidation sqref="K23" showDropDown="0" showInputMessage="0" showErrorMessage="0" allowBlank="1" type="list">
      <formula1>"YES,NO,—"</formula1>
    </dataValidation>
    <dataValidation sqref="K24" showDropDown="0" showInputMessage="0" showErrorMessage="0" allowBlank="1" type="list">
      <formula1>"YES,NO,—"</formula1>
    </dataValidation>
    <dataValidation sqref="K25" showDropDown="0" showInputMessage="0" showErrorMessage="0" allowBlank="1" type="list">
      <formula1>"YES,NO,—"</formula1>
    </dataValidation>
    <dataValidation sqref="K26" showDropDown="0" showInputMessage="0" showErrorMessage="0" allowBlank="1" type="list">
      <formula1>"YES,NO,—"</formula1>
    </dataValidation>
    <dataValidation sqref="K27" showDropDown="0" showInputMessage="0" showErrorMessage="0" allowBlank="1" type="list">
      <formula1>"YES,NO,—"</formula1>
    </dataValidation>
    <dataValidation sqref="K28" showDropDown="0" showInputMessage="0" showErrorMessage="0" allowBlank="1" type="list">
      <formula1>"YES,NO,—"</formula1>
    </dataValidation>
    <dataValidation sqref="K29" showDropDown="0" showInputMessage="0" showErrorMessage="0" allowBlank="1" type="list">
      <formula1>"YES,NO,—"</formula1>
    </dataValidation>
    <dataValidation sqref="K30" showDropDown="0" showInputMessage="0" showErrorMessage="0" allowBlank="1" type="list">
      <formula1>"YES,NO,—"</formula1>
    </dataValidation>
    <dataValidation sqref="K31" showDropDown="0" showInputMessage="0" showErrorMessage="0" allowBlank="1" type="list">
      <formula1>"YES,NO,—"</formula1>
    </dataValidation>
    <dataValidation sqref="K32" showDropDown="0" showInputMessage="0" showErrorMessage="0" allowBlank="1" type="list">
      <formula1>"YES,NO,—"</formula1>
    </dataValidation>
    <dataValidation sqref="K33" showDropDown="0" showInputMessage="0" showErrorMessage="0" allowBlank="1" type="list">
      <formula1>"YES,NO,—"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8" customWidth="1" min="4" max="4"/>
    <col width="10" customWidth="1" min="5" max="5"/>
    <col width="10" customWidth="1" min="6" max="6"/>
    <col width="10" customWidth="1" min="7" max="7"/>
    <col width="11" customWidth="1" min="8" max="8"/>
    <col width="11" customWidth="1" min="9" max="9"/>
    <col width="11" customWidth="1" min="10" max="10"/>
    <col width="16" customWidth="1" min="11" max="11"/>
  </cols>
  <sheetData>
    <row r="1" ht="28" customHeight="1">
      <c r="A1" s="22" t="inlineStr">
        <is>
          <t>POSITION LOG  —  Open Positions  |  Updated daily after market close</t>
        </is>
      </c>
    </row>
    <row r="2" ht="20" customHeight="1">
      <c r="A2" s="44" t="inlineStr">
        <is>
          <t>Enter Symbol, Entry Date, Entry Price, Qty in YELLOW. SL Level, P&amp;L, and Days Held auto-calculate. Remove row when position is closed (record it in Trade Log first).</t>
        </is>
      </c>
    </row>
    <row r="3" ht="32" customHeight="1">
      <c r="A3" s="24" t="inlineStr">
        <is>
          <t>Symbol</t>
        </is>
      </c>
      <c r="B3" s="24" t="inlineStr">
        <is>
          <t>Entry
Date</t>
        </is>
      </c>
      <c r="C3" s="24" t="inlineStr">
        <is>
          <t>Entry
Price (Rs)</t>
        </is>
      </c>
      <c r="D3" s="24" t="inlineStr">
        <is>
          <t>Qty
(shares)</t>
        </is>
      </c>
      <c r="E3" s="24" t="inlineStr">
        <is>
          <t>SL Level
(auto)</t>
        </is>
      </c>
      <c r="F3" s="24" t="inlineStr">
        <is>
          <t>Current
Close (Rs)</t>
        </is>
      </c>
      <c r="G3" s="24" t="inlineStr">
        <is>
          <t>Unreal.
P&amp;L (Rs)</t>
        </is>
      </c>
      <c r="H3" s="24" t="inlineStr">
        <is>
          <t>Unreal.
P&amp;L %</t>
        </is>
      </c>
      <c r="I3" s="24" t="inlineStr">
        <is>
          <t>Days
Held</t>
        </is>
      </c>
      <c r="J3" s="24" t="inlineStr">
        <is>
          <t>Allocation
(Rs)</t>
        </is>
      </c>
      <c r="K3" s="24" t="inlineStr">
        <is>
          <t>Status</t>
        </is>
      </c>
    </row>
    <row r="4">
      <c r="A4" s="30" t="inlineStr"/>
      <c r="B4" s="122" t="n"/>
      <c r="C4" s="123" t="inlineStr"/>
      <c r="D4" s="27" t="inlineStr"/>
      <c r="E4" s="124">
        <f>IF(C4="","",C4*0.90)</f>
        <v/>
      </c>
      <c r="F4" s="123" t="inlineStr"/>
      <c r="G4" s="118">
        <f>IF(OR(C4="",D4="",F4=""),"",(F4-C4)*D4)</f>
        <v/>
      </c>
      <c r="H4" s="48">
        <f>IF(OR(C4="",F4=""),"",F4/C4-1)</f>
        <v/>
      </c>
      <c r="I4" s="49">
        <f>IF(B4="","",TODAY()-B4)</f>
        <v/>
      </c>
      <c r="J4" s="118">
        <f>IF(OR(C4="",D4=""),"",C4*D4)</f>
        <v/>
      </c>
      <c r="K4" s="25">
        <f>IF(C4="","",IF(F4="","Awaiting price",IF(F4&lt;=E4,"*** SL TRIGGERED ***",IF(F4/C4-1&lt;-0.07,"APPROACHING SL","OPEN"))))</f>
        <v/>
      </c>
    </row>
    <row r="5">
      <c r="A5" s="30" t="inlineStr"/>
      <c r="B5" s="122" t="n"/>
      <c r="C5" s="123" t="inlineStr"/>
      <c r="D5" s="27" t="inlineStr"/>
      <c r="E5" s="124">
        <f>IF(C5="","",C5*0.90)</f>
        <v/>
      </c>
      <c r="F5" s="123" t="inlineStr"/>
      <c r="G5" s="118">
        <f>IF(OR(C5="",D5="",F5=""),"",(F5-C5)*D5)</f>
        <v/>
      </c>
      <c r="H5" s="48">
        <f>IF(OR(C5="",F5=""),"",F5/C5-1)</f>
        <v/>
      </c>
      <c r="I5" s="49">
        <f>IF(B5="","",TODAY()-B5)</f>
        <v/>
      </c>
      <c r="J5" s="118">
        <f>IF(OR(C5="",D5=""),"",C5*D5)</f>
        <v/>
      </c>
      <c r="K5" s="32">
        <f>IF(C5="","",IF(F5="","Awaiting price",IF(F5&lt;=E5,"*** SL TRIGGERED ***",IF(F5/C5-1&lt;-0.07,"APPROACHING SL","OPEN"))))</f>
        <v/>
      </c>
    </row>
    <row r="6">
      <c r="A6" s="30" t="inlineStr"/>
      <c r="B6" s="122" t="n"/>
      <c r="C6" s="123" t="inlineStr"/>
      <c r="D6" s="27" t="inlineStr"/>
      <c r="E6" s="124">
        <f>IF(C6="","",C6*0.90)</f>
        <v/>
      </c>
      <c r="F6" s="123" t="inlineStr"/>
      <c r="G6" s="118">
        <f>IF(OR(C6="",D6="",F6=""),"",(F6-C6)*D6)</f>
        <v/>
      </c>
      <c r="H6" s="48">
        <f>IF(OR(C6="",F6=""),"",F6/C6-1)</f>
        <v/>
      </c>
      <c r="I6" s="49">
        <f>IF(B6="","",TODAY()-B6)</f>
        <v/>
      </c>
      <c r="J6" s="118">
        <f>IF(OR(C6="",D6=""),"",C6*D6)</f>
        <v/>
      </c>
      <c r="K6" s="25">
        <f>IF(C6="","",IF(F6="","Awaiting price",IF(F6&lt;=E6,"*** SL TRIGGERED ***",IF(F6/C6-1&lt;-0.07,"APPROACHING SL","OPEN"))))</f>
        <v/>
      </c>
    </row>
    <row r="7">
      <c r="A7" s="30" t="inlineStr"/>
      <c r="B7" s="122" t="n"/>
      <c r="C7" s="123" t="inlineStr"/>
      <c r="D7" s="27" t="inlineStr"/>
      <c r="E7" s="124">
        <f>IF(C7="","",C7*0.90)</f>
        <v/>
      </c>
      <c r="F7" s="123" t="inlineStr"/>
      <c r="G7" s="118">
        <f>IF(OR(C7="",D7="",F7=""),"",(F7-C7)*D7)</f>
        <v/>
      </c>
      <c r="H7" s="48">
        <f>IF(OR(C7="",F7=""),"",F7/C7-1)</f>
        <v/>
      </c>
      <c r="I7" s="49">
        <f>IF(B7="","",TODAY()-B7)</f>
        <v/>
      </c>
      <c r="J7" s="118">
        <f>IF(OR(C7="",D7=""),"",C7*D7)</f>
        <v/>
      </c>
      <c r="K7" s="32">
        <f>IF(C7="","",IF(F7="","Awaiting price",IF(F7&lt;=E7,"*** SL TRIGGERED ***",IF(F7/C7-1&lt;-0.07,"APPROACHING SL","OPEN"))))</f>
        <v/>
      </c>
    </row>
    <row r="8">
      <c r="A8" s="30" t="inlineStr"/>
      <c r="B8" s="122" t="n"/>
      <c r="C8" s="123" t="inlineStr"/>
      <c r="D8" s="27" t="inlineStr"/>
      <c r="E8" s="124">
        <f>IF(C8="","",C8*0.90)</f>
        <v/>
      </c>
      <c r="F8" s="123" t="inlineStr"/>
      <c r="G8" s="118">
        <f>IF(OR(C8="",D8="",F8=""),"",(F8-C8)*D8)</f>
        <v/>
      </c>
      <c r="H8" s="48">
        <f>IF(OR(C8="",F8=""),"",F8/C8-1)</f>
        <v/>
      </c>
      <c r="I8" s="49">
        <f>IF(B8="","",TODAY()-B8)</f>
        <v/>
      </c>
      <c r="J8" s="118">
        <f>IF(OR(C8="",D8=""),"",C8*D8)</f>
        <v/>
      </c>
      <c r="K8" s="25">
        <f>IF(C8="","",IF(F8="","Awaiting price",IF(F8&lt;=E8,"*** SL TRIGGERED ***",IF(F8/C8-1&lt;-0.07,"APPROACHING SL","OPEN"))))</f>
        <v/>
      </c>
    </row>
    <row r="9">
      <c r="A9" s="30" t="inlineStr"/>
      <c r="B9" s="122" t="n"/>
      <c r="C9" s="123" t="inlineStr"/>
      <c r="D9" s="27" t="inlineStr"/>
      <c r="E9" s="124">
        <f>IF(C9="","",C9*0.90)</f>
        <v/>
      </c>
      <c r="F9" s="123" t="inlineStr"/>
      <c r="G9" s="118">
        <f>IF(OR(C9="",D9="",F9=""),"",(F9-C9)*D9)</f>
        <v/>
      </c>
      <c r="H9" s="48">
        <f>IF(OR(C9="",F9=""),"",F9/C9-1)</f>
        <v/>
      </c>
      <c r="I9" s="49">
        <f>IF(B9="","",TODAY()-B9)</f>
        <v/>
      </c>
      <c r="J9" s="118">
        <f>IF(OR(C9="",D9=""),"",C9*D9)</f>
        <v/>
      </c>
      <c r="K9" s="32">
        <f>IF(C9="","",IF(F9="","Awaiting price",IF(F9&lt;=E9,"*** SL TRIGGERED ***",IF(F9/C9-1&lt;-0.07,"APPROACHING SL","OPEN"))))</f>
        <v/>
      </c>
    </row>
    <row r="10">
      <c r="A10" s="30" t="inlineStr"/>
      <c r="B10" s="122" t="n"/>
      <c r="C10" s="123" t="inlineStr"/>
      <c r="D10" s="27" t="inlineStr"/>
      <c r="E10" s="124">
        <f>IF(C10="","",C10*0.90)</f>
        <v/>
      </c>
      <c r="F10" s="123" t="inlineStr"/>
      <c r="G10" s="118">
        <f>IF(OR(C10="",D10="",F10=""),"",(F10-C10)*D10)</f>
        <v/>
      </c>
      <c r="H10" s="48">
        <f>IF(OR(C10="",F10=""),"",F10/C10-1)</f>
        <v/>
      </c>
      <c r="I10" s="49">
        <f>IF(B10="","",TODAY()-B10)</f>
        <v/>
      </c>
      <c r="J10" s="118">
        <f>IF(OR(C10="",D10=""),"",C10*D10)</f>
        <v/>
      </c>
      <c r="K10" s="25">
        <f>IF(C10="","",IF(F10="","Awaiting price",IF(F10&lt;=E10,"*** SL TRIGGERED ***",IF(F10/C10-1&lt;-0.07,"APPROACHING SL","OPEN"))))</f>
        <v/>
      </c>
    </row>
    <row r="11">
      <c r="A11" s="30" t="inlineStr"/>
      <c r="B11" s="122" t="n"/>
      <c r="C11" s="123" t="inlineStr"/>
      <c r="D11" s="27" t="inlineStr"/>
      <c r="E11" s="124">
        <f>IF(C11="","",C11*0.90)</f>
        <v/>
      </c>
      <c r="F11" s="123" t="inlineStr"/>
      <c r="G11" s="118">
        <f>IF(OR(C11="",D11="",F11=""),"",(F11-C11)*D11)</f>
        <v/>
      </c>
      <c r="H11" s="48">
        <f>IF(OR(C11="",F11=""),"",F11/C11-1)</f>
        <v/>
      </c>
      <c r="I11" s="49">
        <f>IF(B11="","",TODAY()-B11)</f>
        <v/>
      </c>
      <c r="J11" s="118">
        <f>IF(OR(C11="",D11=""),"",C11*D11)</f>
        <v/>
      </c>
      <c r="K11" s="32">
        <f>IF(C11="","",IF(F11="","Awaiting price",IF(F11&lt;=E11,"*** SL TRIGGERED ***",IF(F11/C11-1&lt;-0.07,"APPROACHING SL","OPEN"))))</f>
        <v/>
      </c>
    </row>
    <row r="12">
      <c r="A12" s="30" t="inlineStr"/>
      <c r="B12" s="122" t="n"/>
      <c r="C12" s="123" t="inlineStr"/>
      <c r="D12" s="27" t="inlineStr"/>
      <c r="E12" s="124">
        <f>IF(C12="","",C12*0.90)</f>
        <v/>
      </c>
      <c r="F12" s="123" t="inlineStr"/>
      <c r="G12" s="118">
        <f>IF(OR(C12="",D12="",F12=""),"",(F12-C12)*D12)</f>
        <v/>
      </c>
      <c r="H12" s="48">
        <f>IF(OR(C12="",F12=""),"",F12/C12-1)</f>
        <v/>
      </c>
      <c r="I12" s="49">
        <f>IF(B12="","",TODAY()-B12)</f>
        <v/>
      </c>
      <c r="J12" s="118">
        <f>IF(OR(C12="",D12=""),"",C12*D12)</f>
        <v/>
      </c>
      <c r="K12" s="25">
        <f>IF(C12="","",IF(F12="","Awaiting price",IF(F12&lt;=E12,"*** SL TRIGGERED ***",IF(F12/C12-1&lt;-0.07,"APPROACHING SL","OPEN"))))</f>
        <v/>
      </c>
    </row>
    <row r="13">
      <c r="A13" s="30" t="inlineStr"/>
      <c r="B13" s="122" t="n"/>
      <c r="C13" s="123" t="inlineStr"/>
      <c r="D13" s="27" t="inlineStr"/>
      <c r="E13" s="124">
        <f>IF(C13="","",C13*0.90)</f>
        <v/>
      </c>
      <c r="F13" s="123" t="inlineStr"/>
      <c r="G13" s="118">
        <f>IF(OR(C13="",D13="",F13=""),"",(F13-C13)*D13)</f>
        <v/>
      </c>
      <c r="H13" s="48">
        <f>IF(OR(C13="",F13=""),"",F13/C13-1)</f>
        <v/>
      </c>
      <c r="I13" s="49">
        <f>IF(B13="","",TODAY()-B13)</f>
        <v/>
      </c>
      <c r="J13" s="118">
        <f>IF(OR(C13="",D13=""),"",C13*D13)</f>
        <v/>
      </c>
      <c r="K13" s="32">
        <f>IF(C13="","",IF(F13="","Awaiting price",IF(F13&lt;=E13,"*** SL TRIGGERED ***",IF(F13/C13-1&lt;-0.07,"APPROACHING SL","OPEN"))))</f>
        <v/>
      </c>
    </row>
    <row r="15">
      <c r="A15" s="42" t="inlineStr">
        <is>
          <t>POSITION SUMMARY</t>
        </is>
      </c>
      <c r="B15" s="121" t="n"/>
      <c r="C15" s="121" t="n"/>
      <c r="D15" s="121" t="n"/>
      <c r="E15" s="121" t="n"/>
      <c r="F15" s="121" t="n"/>
      <c r="G15" s="121" t="n"/>
      <c r="H15" s="121" t="n"/>
      <c r="I15" s="121" t="n"/>
      <c r="J15" s="121" t="n"/>
      <c r="K15" s="51" t="n"/>
    </row>
    <row r="16">
      <c r="A16" s="50" t="inlineStr">
        <is>
          <t>Total open positions</t>
        </is>
      </c>
      <c r="B16" s="51" t="n"/>
      <c r="C16" s="52">
        <f>COUNTA(A4:A13)</f>
        <v/>
      </c>
      <c r="D16" s="53" t="n"/>
      <c r="E16" s="53" t="n"/>
      <c r="F16" s="53" t="n"/>
      <c r="G16" s="53" t="n"/>
      <c r="H16" s="53" t="n"/>
      <c r="I16" s="53" t="n"/>
      <c r="J16" s="53" t="n"/>
      <c r="K16" s="53" t="n"/>
    </row>
    <row r="17">
      <c r="A17" s="50" t="inlineStr">
        <is>
          <t>Total invested (Rs)</t>
        </is>
      </c>
      <c r="B17" s="51" t="n"/>
      <c r="C17" s="118">
        <f>IFERROR(SUMPRODUCT((C4:C13&lt;&gt;"")*C4:C13*D4:D13),0)</f>
        <v/>
      </c>
      <c r="D17" s="53" t="n"/>
      <c r="E17" s="53" t="n"/>
      <c r="F17" s="53" t="n"/>
      <c r="G17" s="53" t="n"/>
      <c r="H17" s="53" t="n"/>
      <c r="I17" s="53" t="n"/>
      <c r="J17" s="53" t="n"/>
      <c r="K17" s="53" t="n"/>
    </row>
    <row r="18">
      <c r="A18" s="50" t="inlineStr">
        <is>
          <t>Total unrealised P&amp;L (Rs)</t>
        </is>
      </c>
      <c r="B18" s="51" t="n"/>
      <c r="C18" s="118">
        <f>IFERROR(SUM(G4:G13),0)</f>
        <v/>
      </c>
      <c r="D18" s="53" t="n"/>
      <c r="E18" s="53" t="n"/>
      <c r="F18" s="53" t="n"/>
      <c r="G18" s="53" t="n"/>
      <c r="H18" s="53" t="n"/>
      <c r="I18" s="53" t="n"/>
      <c r="J18" s="53" t="n"/>
      <c r="K18" s="53" t="n"/>
    </row>
    <row r="19">
      <c r="A19" s="50" t="inlineStr">
        <is>
          <t>Positions approaching SL (loss &gt;7%)</t>
        </is>
      </c>
      <c r="B19" s="51" t="n"/>
      <c r="C19" s="52">
        <f>COUNTIF(K4:K13,"APPROACHING SL")</f>
        <v/>
      </c>
      <c r="D19" s="53" t="n"/>
      <c r="E19" s="53" t="n"/>
      <c r="F19" s="53" t="n"/>
      <c r="G19" s="53" t="n"/>
      <c r="H19" s="53" t="n"/>
      <c r="I19" s="53" t="n"/>
      <c r="J19" s="53" t="n"/>
      <c r="K19" s="53" t="n"/>
    </row>
    <row r="20">
      <c r="A20" s="50" t="inlineStr">
        <is>
          <t>Positions SL triggered</t>
        </is>
      </c>
      <c r="B20" s="51" t="n"/>
      <c r="C20" s="52">
        <f>COUNTIF(K4:K13,"*** SL TRIGGERED ***")</f>
        <v/>
      </c>
      <c r="D20" s="53" t="n"/>
      <c r="E20" s="53" t="n"/>
      <c r="F20" s="53" t="n"/>
      <c r="G20" s="53" t="n"/>
      <c r="H20" s="53" t="n"/>
      <c r="I20" s="53" t="n"/>
      <c r="J20" s="53" t="n"/>
      <c r="K20" s="53" t="n"/>
    </row>
  </sheetData>
  <mergeCells count="8">
    <mergeCell ref="A20:B20"/>
    <mergeCell ref="A16:B16"/>
    <mergeCell ref="A15:K15"/>
    <mergeCell ref="A19:B19"/>
    <mergeCell ref="A2:K2"/>
    <mergeCell ref="A17:B17"/>
    <mergeCell ref="A18:B18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1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12" customWidth="1" min="4" max="4"/>
    <col width="11" customWidth="1" min="5" max="5"/>
    <col width="11" customWidth="1" min="6" max="6"/>
    <col width="8" customWidth="1" min="7" max="7"/>
    <col width="11" customWidth="1" min="8" max="8"/>
    <col width="11" customWidth="1" min="9" max="9"/>
    <col width="11" customWidth="1" min="10" max="10"/>
    <col width="10" customWidth="1" min="11" max="11"/>
    <col width="11" customWidth="1" min="12" max="12"/>
    <col width="14" customWidth="1" min="13" max="13"/>
    <col width="8" customWidth="1" min="14" max="14"/>
  </cols>
  <sheetData>
    <row r="1" ht="28" customHeight="1">
      <c r="A1" s="22" t="inlineStr">
        <is>
          <t>TRADE LOG  —  Completed Trades  |  One row per exit</t>
        </is>
      </c>
    </row>
    <row r="2" ht="24" customHeight="1">
      <c r="A2" s="44" t="inlineStr">
        <is>
          <t>Enter YELLOW cells when a position is closed. Gross P&amp;L, Net P&amp;L, Return %, and Hold Days auto-calculate. Costs = Brokerage (Rs.20 each way) + STT 0.1% on sell side + Exchange fee 0.00345%.</t>
        </is>
      </c>
    </row>
    <row r="3" ht="32" customHeight="1">
      <c r="A3" s="24" t="inlineStr">
        <is>
          <t>#</t>
        </is>
      </c>
      <c r="B3" s="24" t="inlineStr">
        <is>
          <t>Symbol</t>
        </is>
      </c>
      <c r="C3" s="24" t="inlineStr">
        <is>
          <t>Entry
Date</t>
        </is>
      </c>
      <c r="D3" s="24" t="inlineStr">
        <is>
          <t>Exit
Date</t>
        </is>
      </c>
      <c r="E3" s="24" t="inlineStr">
        <is>
          <t>Entry
Price (Rs)</t>
        </is>
      </c>
      <c r="F3" s="24" t="inlineStr">
        <is>
          <t>Exit
Price (Rs)</t>
        </is>
      </c>
      <c r="G3" s="24" t="inlineStr">
        <is>
          <t>Qty</t>
        </is>
      </c>
      <c r="H3" s="24" t="inlineStr">
        <is>
          <t>Gross
P&amp;L (Rs)</t>
        </is>
      </c>
      <c r="I3" s="24" t="inlineStr">
        <is>
          <t>Total
Costs (Rs)</t>
        </is>
      </c>
      <c r="J3" s="24" t="inlineStr">
        <is>
          <t>Net
P&amp;L (Rs)</t>
        </is>
      </c>
      <c r="K3" s="24" t="inlineStr">
        <is>
          <t>Return
%</t>
        </is>
      </c>
      <c r="L3" s="24" t="inlineStr">
        <is>
          <t>Hold
Days</t>
        </is>
      </c>
      <c r="M3" s="24" t="inlineStr">
        <is>
          <t>Exit
Reason</t>
        </is>
      </c>
      <c r="N3" s="24" t="inlineStr">
        <is>
          <t>Win?</t>
        </is>
      </c>
    </row>
    <row r="4">
      <c r="A4" s="49">
        <f>IF(B4="","",ROW()-3)</f>
        <v/>
      </c>
      <c r="B4" s="30" t="inlineStr"/>
      <c r="C4" s="122" t="n"/>
      <c r="D4" s="122" t="n"/>
      <c r="E4" s="123" t="inlineStr"/>
      <c r="F4" s="123" t="inlineStr"/>
      <c r="G4" s="27" t="inlineStr"/>
      <c r="H4" s="118">
        <f>IF(OR(E4="",F4="",G4=""),"",(F4-E4)*G4)</f>
        <v/>
      </c>
      <c r="I4" s="118">
        <f>IF(OR(E4="",F4="",G4=""),"",40+0.001*F4*G4+0.0000345*(E4+F4)*G4)</f>
        <v/>
      </c>
      <c r="J4" s="118">
        <f>IF(H4="","",H4-I4)</f>
        <v/>
      </c>
      <c r="K4" s="48">
        <f>IF(OR(E4="",F4=""),"",F4/E4-1)</f>
        <v/>
      </c>
      <c r="L4" s="49">
        <f>IF(OR(C4="",D4=""),"",D4-C4)</f>
        <v/>
      </c>
      <c r="M4" s="30" t="inlineStr"/>
      <c r="N4" s="25">
        <f>IF(J4="","",IF(J4&gt;0,"WIN","LOSS"))</f>
        <v/>
      </c>
    </row>
    <row r="5">
      <c r="A5" s="54">
        <f>IF(B5="","",ROW()-3)</f>
        <v/>
      </c>
      <c r="B5" s="30" t="inlineStr"/>
      <c r="C5" s="122" t="n"/>
      <c r="D5" s="122" t="n"/>
      <c r="E5" s="123" t="inlineStr"/>
      <c r="F5" s="123" t="inlineStr"/>
      <c r="G5" s="27" t="inlineStr"/>
      <c r="H5" s="117">
        <f>IF(OR(E5="",F5="",G5=""),"",(F5-E5)*G5)</f>
        <v/>
      </c>
      <c r="I5" s="117">
        <f>IF(OR(E5="",F5="",G5=""),"",40+0.001*F5*G5+0.0000345*(E5+F5)*G5)</f>
        <v/>
      </c>
      <c r="J5" s="117">
        <f>IF(H5="","",H5-I5)</f>
        <v/>
      </c>
      <c r="K5" s="55">
        <f>IF(OR(E5="",F5=""),"",F5/E5-1)</f>
        <v/>
      </c>
      <c r="L5" s="54">
        <f>IF(OR(C5="",D5=""),"",D5-C5)</f>
        <v/>
      </c>
      <c r="M5" s="30" t="inlineStr"/>
      <c r="N5" s="32">
        <f>IF(J5="","",IF(J5&gt;0,"WIN","LOSS"))</f>
        <v/>
      </c>
    </row>
    <row r="6">
      <c r="A6" s="49">
        <f>IF(B6="","",ROW()-3)</f>
        <v/>
      </c>
      <c r="B6" s="30" t="inlineStr"/>
      <c r="C6" s="122" t="n"/>
      <c r="D6" s="122" t="n"/>
      <c r="E6" s="123" t="inlineStr"/>
      <c r="F6" s="123" t="inlineStr"/>
      <c r="G6" s="27" t="inlineStr"/>
      <c r="H6" s="118">
        <f>IF(OR(E6="",F6="",G6=""),"",(F6-E6)*G6)</f>
        <v/>
      </c>
      <c r="I6" s="118">
        <f>IF(OR(E6="",F6="",G6=""),"",40+0.001*F6*G6+0.0000345*(E6+F6)*G6)</f>
        <v/>
      </c>
      <c r="J6" s="118">
        <f>IF(H6="","",H6-I6)</f>
        <v/>
      </c>
      <c r="K6" s="48">
        <f>IF(OR(E6="",F6=""),"",F6/E6-1)</f>
        <v/>
      </c>
      <c r="L6" s="49">
        <f>IF(OR(C6="",D6=""),"",D6-C6)</f>
        <v/>
      </c>
      <c r="M6" s="30" t="inlineStr"/>
      <c r="N6" s="25">
        <f>IF(J6="","",IF(J6&gt;0,"WIN","LOSS"))</f>
        <v/>
      </c>
    </row>
    <row r="7">
      <c r="A7" s="54">
        <f>IF(B7="","",ROW()-3)</f>
        <v/>
      </c>
      <c r="B7" s="30" t="inlineStr"/>
      <c r="C7" s="122" t="n"/>
      <c r="D7" s="122" t="n"/>
      <c r="E7" s="123" t="inlineStr"/>
      <c r="F7" s="123" t="inlineStr"/>
      <c r="G7" s="27" t="inlineStr"/>
      <c r="H7" s="117">
        <f>IF(OR(E7="",F7="",G7=""),"",(F7-E7)*G7)</f>
        <v/>
      </c>
      <c r="I7" s="117">
        <f>IF(OR(E7="",F7="",G7=""),"",40+0.001*F7*G7+0.0000345*(E7+F7)*G7)</f>
        <v/>
      </c>
      <c r="J7" s="117">
        <f>IF(H7="","",H7-I7)</f>
        <v/>
      </c>
      <c r="K7" s="55">
        <f>IF(OR(E7="",F7=""),"",F7/E7-1)</f>
        <v/>
      </c>
      <c r="L7" s="54">
        <f>IF(OR(C7="",D7=""),"",D7-C7)</f>
        <v/>
      </c>
      <c r="M7" s="30" t="inlineStr"/>
      <c r="N7" s="32">
        <f>IF(J7="","",IF(J7&gt;0,"WIN","LOSS"))</f>
        <v/>
      </c>
    </row>
    <row r="8">
      <c r="A8" s="49">
        <f>IF(B8="","",ROW()-3)</f>
        <v/>
      </c>
      <c r="B8" s="30" t="inlineStr"/>
      <c r="C8" s="122" t="n"/>
      <c r="D8" s="122" t="n"/>
      <c r="E8" s="123" t="inlineStr"/>
      <c r="F8" s="123" t="inlineStr"/>
      <c r="G8" s="27" t="inlineStr"/>
      <c r="H8" s="118">
        <f>IF(OR(E8="",F8="",G8=""),"",(F8-E8)*G8)</f>
        <v/>
      </c>
      <c r="I8" s="118">
        <f>IF(OR(E8="",F8="",G8=""),"",40+0.001*F8*G8+0.0000345*(E8+F8)*G8)</f>
        <v/>
      </c>
      <c r="J8" s="118">
        <f>IF(H8="","",H8-I8)</f>
        <v/>
      </c>
      <c r="K8" s="48">
        <f>IF(OR(E8="",F8=""),"",F8/E8-1)</f>
        <v/>
      </c>
      <c r="L8" s="49">
        <f>IF(OR(C8="",D8=""),"",D8-C8)</f>
        <v/>
      </c>
      <c r="M8" s="30" t="inlineStr"/>
      <c r="N8" s="25">
        <f>IF(J8="","",IF(J8&gt;0,"WIN","LOSS"))</f>
        <v/>
      </c>
    </row>
    <row r="9">
      <c r="A9" s="54">
        <f>IF(B9="","",ROW()-3)</f>
        <v/>
      </c>
      <c r="B9" s="30" t="inlineStr"/>
      <c r="C9" s="122" t="n"/>
      <c r="D9" s="122" t="n"/>
      <c r="E9" s="123" t="inlineStr"/>
      <c r="F9" s="123" t="inlineStr"/>
      <c r="G9" s="27" t="inlineStr"/>
      <c r="H9" s="117">
        <f>IF(OR(E9="",F9="",G9=""),"",(F9-E9)*G9)</f>
        <v/>
      </c>
      <c r="I9" s="117">
        <f>IF(OR(E9="",F9="",G9=""),"",40+0.001*F9*G9+0.0000345*(E9+F9)*G9)</f>
        <v/>
      </c>
      <c r="J9" s="117">
        <f>IF(H9="","",H9-I9)</f>
        <v/>
      </c>
      <c r="K9" s="55">
        <f>IF(OR(E9="",F9=""),"",F9/E9-1)</f>
        <v/>
      </c>
      <c r="L9" s="54">
        <f>IF(OR(C9="",D9=""),"",D9-C9)</f>
        <v/>
      </c>
      <c r="M9" s="30" t="inlineStr"/>
      <c r="N9" s="32">
        <f>IF(J9="","",IF(J9&gt;0,"WIN","LOSS"))</f>
        <v/>
      </c>
    </row>
    <row r="10">
      <c r="A10" s="49">
        <f>IF(B10="","",ROW()-3)</f>
        <v/>
      </c>
      <c r="B10" s="30" t="inlineStr"/>
      <c r="C10" s="122" t="n"/>
      <c r="D10" s="122" t="n"/>
      <c r="E10" s="123" t="inlineStr"/>
      <c r="F10" s="123" t="inlineStr"/>
      <c r="G10" s="27" t="inlineStr"/>
      <c r="H10" s="118">
        <f>IF(OR(E10="",F10="",G10=""),"",(F10-E10)*G10)</f>
        <v/>
      </c>
      <c r="I10" s="118">
        <f>IF(OR(E10="",F10="",G10=""),"",40+0.001*F10*G10+0.0000345*(E10+F10)*G10)</f>
        <v/>
      </c>
      <c r="J10" s="118">
        <f>IF(H10="","",H10-I10)</f>
        <v/>
      </c>
      <c r="K10" s="48">
        <f>IF(OR(E10="",F10=""),"",F10/E10-1)</f>
        <v/>
      </c>
      <c r="L10" s="49">
        <f>IF(OR(C10="",D10=""),"",D10-C10)</f>
        <v/>
      </c>
      <c r="M10" s="30" t="inlineStr"/>
      <c r="N10" s="25">
        <f>IF(J10="","",IF(J10&gt;0,"WIN","LOSS"))</f>
        <v/>
      </c>
    </row>
    <row r="11">
      <c r="A11" s="54">
        <f>IF(B11="","",ROW()-3)</f>
        <v/>
      </c>
      <c r="B11" s="30" t="inlineStr"/>
      <c r="C11" s="122" t="n"/>
      <c r="D11" s="122" t="n"/>
      <c r="E11" s="123" t="inlineStr"/>
      <c r="F11" s="123" t="inlineStr"/>
      <c r="G11" s="27" t="inlineStr"/>
      <c r="H11" s="117">
        <f>IF(OR(E11="",F11="",G11=""),"",(F11-E11)*G11)</f>
        <v/>
      </c>
      <c r="I11" s="117">
        <f>IF(OR(E11="",F11="",G11=""),"",40+0.001*F11*G11+0.0000345*(E11+F11)*G11)</f>
        <v/>
      </c>
      <c r="J11" s="117">
        <f>IF(H11="","",H11-I11)</f>
        <v/>
      </c>
      <c r="K11" s="55">
        <f>IF(OR(E11="",F11=""),"",F11/E11-1)</f>
        <v/>
      </c>
      <c r="L11" s="54">
        <f>IF(OR(C11="",D11=""),"",D11-C11)</f>
        <v/>
      </c>
      <c r="M11" s="30" t="inlineStr"/>
      <c r="N11" s="32">
        <f>IF(J11="","",IF(J11&gt;0,"WIN","LOSS"))</f>
        <v/>
      </c>
    </row>
    <row r="12">
      <c r="A12" s="49">
        <f>IF(B12="","",ROW()-3)</f>
        <v/>
      </c>
      <c r="B12" s="30" t="inlineStr"/>
      <c r="C12" s="122" t="n"/>
      <c r="D12" s="122" t="n"/>
      <c r="E12" s="123" t="inlineStr"/>
      <c r="F12" s="123" t="inlineStr"/>
      <c r="G12" s="27" t="inlineStr"/>
      <c r="H12" s="118">
        <f>IF(OR(E12="",F12="",G12=""),"",(F12-E12)*G12)</f>
        <v/>
      </c>
      <c r="I12" s="118">
        <f>IF(OR(E12="",F12="",G12=""),"",40+0.001*F12*G12+0.0000345*(E12+F12)*G12)</f>
        <v/>
      </c>
      <c r="J12" s="118">
        <f>IF(H12="","",H12-I12)</f>
        <v/>
      </c>
      <c r="K12" s="48">
        <f>IF(OR(E12="",F12=""),"",F12/E12-1)</f>
        <v/>
      </c>
      <c r="L12" s="49">
        <f>IF(OR(C12="",D12=""),"",D12-C12)</f>
        <v/>
      </c>
      <c r="M12" s="30" t="inlineStr"/>
      <c r="N12" s="25">
        <f>IF(J12="","",IF(J12&gt;0,"WIN","LOSS"))</f>
        <v/>
      </c>
    </row>
    <row r="13">
      <c r="A13" s="54">
        <f>IF(B13="","",ROW()-3)</f>
        <v/>
      </c>
      <c r="B13" s="30" t="inlineStr"/>
      <c r="C13" s="122" t="n"/>
      <c r="D13" s="122" t="n"/>
      <c r="E13" s="123" t="inlineStr"/>
      <c r="F13" s="123" t="inlineStr"/>
      <c r="G13" s="27" t="inlineStr"/>
      <c r="H13" s="117">
        <f>IF(OR(E13="",F13="",G13=""),"",(F13-E13)*G13)</f>
        <v/>
      </c>
      <c r="I13" s="117">
        <f>IF(OR(E13="",F13="",G13=""),"",40+0.001*F13*G13+0.0000345*(E13+F13)*G13)</f>
        <v/>
      </c>
      <c r="J13" s="117">
        <f>IF(H13="","",H13-I13)</f>
        <v/>
      </c>
      <c r="K13" s="55">
        <f>IF(OR(E13="",F13=""),"",F13/E13-1)</f>
        <v/>
      </c>
      <c r="L13" s="54">
        <f>IF(OR(C13="",D13=""),"",D13-C13)</f>
        <v/>
      </c>
      <c r="M13" s="30" t="inlineStr"/>
      <c r="N13" s="32">
        <f>IF(J13="","",IF(J13&gt;0,"WIN","LOSS"))</f>
        <v/>
      </c>
    </row>
    <row r="14">
      <c r="A14" s="49">
        <f>IF(B14="","",ROW()-3)</f>
        <v/>
      </c>
      <c r="B14" s="30" t="inlineStr"/>
      <c r="C14" s="122" t="n"/>
      <c r="D14" s="122" t="n"/>
      <c r="E14" s="123" t="inlineStr"/>
      <c r="F14" s="123" t="inlineStr"/>
      <c r="G14" s="27" t="inlineStr"/>
      <c r="H14" s="118">
        <f>IF(OR(E14="",F14="",G14=""),"",(F14-E14)*G14)</f>
        <v/>
      </c>
      <c r="I14" s="118">
        <f>IF(OR(E14="",F14="",G14=""),"",40+0.001*F14*G14+0.0000345*(E14+F14)*G14)</f>
        <v/>
      </c>
      <c r="J14" s="118">
        <f>IF(H14="","",H14-I14)</f>
        <v/>
      </c>
      <c r="K14" s="48">
        <f>IF(OR(E14="",F14=""),"",F14/E14-1)</f>
        <v/>
      </c>
      <c r="L14" s="49">
        <f>IF(OR(C14="",D14=""),"",D14-C14)</f>
        <v/>
      </c>
      <c r="M14" s="30" t="inlineStr"/>
      <c r="N14" s="25">
        <f>IF(J14="","",IF(J14&gt;0,"WIN","LOSS"))</f>
        <v/>
      </c>
    </row>
    <row r="15">
      <c r="A15" s="54">
        <f>IF(B15="","",ROW()-3)</f>
        <v/>
      </c>
      <c r="B15" s="30" t="inlineStr"/>
      <c r="C15" s="122" t="n"/>
      <c r="D15" s="122" t="n"/>
      <c r="E15" s="123" t="inlineStr"/>
      <c r="F15" s="123" t="inlineStr"/>
      <c r="G15" s="27" t="inlineStr"/>
      <c r="H15" s="117">
        <f>IF(OR(E15="",F15="",G15=""),"",(F15-E15)*G15)</f>
        <v/>
      </c>
      <c r="I15" s="117">
        <f>IF(OR(E15="",F15="",G15=""),"",40+0.001*F15*G15+0.0000345*(E15+F15)*G15)</f>
        <v/>
      </c>
      <c r="J15" s="117">
        <f>IF(H15="","",H15-I15)</f>
        <v/>
      </c>
      <c r="K15" s="55">
        <f>IF(OR(E15="",F15=""),"",F15/E15-1)</f>
        <v/>
      </c>
      <c r="L15" s="54">
        <f>IF(OR(C15="",D15=""),"",D15-C15)</f>
        <v/>
      </c>
      <c r="M15" s="30" t="inlineStr"/>
      <c r="N15" s="32">
        <f>IF(J15="","",IF(J15&gt;0,"WIN","LOSS"))</f>
        <v/>
      </c>
    </row>
    <row r="16">
      <c r="A16" s="49">
        <f>IF(B16="","",ROW()-3)</f>
        <v/>
      </c>
      <c r="B16" s="30" t="inlineStr"/>
      <c r="C16" s="122" t="n"/>
      <c r="D16" s="122" t="n"/>
      <c r="E16" s="123" t="inlineStr"/>
      <c r="F16" s="123" t="inlineStr"/>
      <c r="G16" s="27" t="inlineStr"/>
      <c r="H16" s="118">
        <f>IF(OR(E16="",F16="",G16=""),"",(F16-E16)*G16)</f>
        <v/>
      </c>
      <c r="I16" s="118">
        <f>IF(OR(E16="",F16="",G16=""),"",40+0.001*F16*G16+0.0000345*(E16+F16)*G16)</f>
        <v/>
      </c>
      <c r="J16" s="118">
        <f>IF(H16="","",H16-I16)</f>
        <v/>
      </c>
      <c r="K16" s="48">
        <f>IF(OR(E16="",F16=""),"",F16/E16-1)</f>
        <v/>
      </c>
      <c r="L16" s="49">
        <f>IF(OR(C16="",D16=""),"",D16-C16)</f>
        <v/>
      </c>
      <c r="M16" s="30" t="inlineStr"/>
      <c r="N16" s="25">
        <f>IF(J16="","",IF(J16&gt;0,"WIN","LOSS"))</f>
        <v/>
      </c>
    </row>
    <row r="17">
      <c r="A17" s="54">
        <f>IF(B17="","",ROW()-3)</f>
        <v/>
      </c>
      <c r="B17" s="30" t="inlineStr"/>
      <c r="C17" s="122" t="n"/>
      <c r="D17" s="122" t="n"/>
      <c r="E17" s="123" t="inlineStr"/>
      <c r="F17" s="123" t="inlineStr"/>
      <c r="G17" s="27" t="inlineStr"/>
      <c r="H17" s="117">
        <f>IF(OR(E17="",F17="",G17=""),"",(F17-E17)*G17)</f>
        <v/>
      </c>
      <c r="I17" s="117">
        <f>IF(OR(E17="",F17="",G17=""),"",40+0.001*F17*G17+0.0000345*(E17+F17)*G17)</f>
        <v/>
      </c>
      <c r="J17" s="117">
        <f>IF(H17="","",H17-I17)</f>
        <v/>
      </c>
      <c r="K17" s="55">
        <f>IF(OR(E17="",F17=""),"",F17/E17-1)</f>
        <v/>
      </c>
      <c r="L17" s="54">
        <f>IF(OR(C17="",D17=""),"",D17-C17)</f>
        <v/>
      </c>
      <c r="M17" s="30" t="inlineStr"/>
      <c r="N17" s="32">
        <f>IF(J17="","",IF(J17&gt;0,"WIN","LOSS"))</f>
        <v/>
      </c>
    </row>
    <row r="18">
      <c r="A18" s="49">
        <f>IF(B18="","",ROW()-3)</f>
        <v/>
      </c>
      <c r="B18" s="30" t="inlineStr"/>
      <c r="C18" s="122" t="n"/>
      <c r="D18" s="122" t="n"/>
      <c r="E18" s="123" t="inlineStr"/>
      <c r="F18" s="123" t="inlineStr"/>
      <c r="G18" s="27" t="inlineStr"/>
      <c r="H18" s="118">
        <f>IF(OR(E18="",F18="",G18=""),"",(F18-E18)*G18)</f>
        <v/>
      </c>
      <c r="I18" s="118">
        <f>IF(OR(E18="",F18="",G18=""),"",40+0.001*F18*G18+0.0000345*(E18+F18)*G18)</f>
        <v/>
      </c>
      <c r="J18" s="118">
        <f>IF(H18="","",H18-I18)</f>
        <v/>
      </c>
      <c r="K18" s="48">
        <f>IF(OR(E18="",F18=""),"",F18/E18-1)</f>
        <v/>
      </c>
      <c r="L18" s="49">
        <f>IF(OR(C18="",D18=""),"",D18-C18)</f>
        <v/>
      </c>
      <c r="M18" s="30" t="inlineStr"/>
      <c r="N18" s="25">
        <f>IF(J18="","",IF(J18&gt;0,"WIN","LOSS"))</f>
        <v/>
      </c>
    </row>
    <row r="19">
      <c r="A19" s="54">
        <f>IF(B19="","",ROW()-3)</f>
        <v/>
      </c>
      <c r="B19" s="30" t="inlineStr"/>
      <c r="C19" s="122" t="n"/>
      <c r="D19" s="122" t="n"/>
      <c r="E19" s="123" t="inlineStr"/>
      <c r="F19" s="123" t="inlineStr"/>
      <c r="G19" s="27" t="inlineStr"/>
      <c r="H19" s="117">
        <f>IF(OR(E19="",F19="",G19=""),"",(F19-E19)*G19)</f>
        <v/>
      </c>
      <c r="I19" s="117">
        <f>IF(OR(E19="",F19="",G19=""),"",40+0.001*F19*G19+0.0000345*(E19+F19)*G19)</f>
        <v/>
      </c>
      <c r="J19" s="117">
        <f>IF(H19="","",H19-I19)</f>
        <v/>
      </c>
      <c r="K19" s="55">
        <f>IF(OR(E19="",F19=""),"",F19/E19-1)</f>
        <v/>
      </c>
      <c r="L19" s="54">
        <f>IF(OR(C19="",D19=""),"",D19-C19)</f>
        <v/>
      </c>
      <c r="M19" s="30" t="inlineStr"/>
      <c r="N19" s="32">
        <f>IF(J19="","",IF(J19&gt;0,"WIN","LOSS"))</f>
        <v/>
      </c>
    </row>
    <row r="20">
      <c r="A20" s="49">
        <f>IF(B20="","",ROW()-3)</f>
        <v/>
      </c>
      <c r="B20" s="30" t="inlineStr"/>
      <c r="C20" s="122" t="n"/>
      <c r="D20" s="122" t="n"/>
      <c r="E20" s="123" t="inlineStr"/>
      <c r="F20" s="123" t="inlineStr"/>
      <c r="G20" s="27" t="inlineStr"/>
      <c r="H20" s="118">
        <f>IF(OR(E20="",F20="",G20=""),"",(F20-E20)*G20)</f>
        <v/>
      </c>
      <c r="I20" s="118">
        <f>IF(OR(E20="",F20="",G20=""),"",40+0.001*F20*G20+0.0000345*(E20+F20)*G20)</f>
        <v/>
      </c>
      <c r="J20" s="118">
        <f>IF(H20="","",H20-I20)</f>
        <v/>
      </c>
      <c r="K20" s="48">
        <f>IF(OR(E20="",F20=""),"",F20/E20-1)</f>
        <v/>
      </c>
      <c r="L20" s="49">
        <f>IF(OR(C20="",D20=""),"",D20-C20)</f>
        <v/>
      </c>
      <c r="M20" s="30" t="inlineStr"/>
      <c r="N20" s="25">
        <f>IF(J20="","",IF(J20&gt;0,"WIN","LOSS"))</f>
        <v/>
      </c>
    </row>
    <row r="21">
      <c r="A21" s="54">
        <f>IF(B21="","",ROW()-3)</f>
        <v/>
      </c>
      <c r="B21" s="30" t="inlineStr"/>
      <c r="C21" s="122" t="n"/>
      <c r="D21" s="122" t="n"/>
      <c r="E21" s="123" t="inlineStr"/>
      <c r="F21" s="123" t="inlineStr"/>
      <c r="G21" s="27" t="inlineStr"/>
      <c r="H21" s="117">
        <f>IF(OR(E21="",F21="",G21=""),"",(F21-E21)*G21)</f>
        <v/>
      </c>
      <c r="I21" s="117">
        <f>IF(OR(E21="",F21="",G21=""),"",40+0.001*F21*G21+0.0000345*(E21+F21)*G21)</f>
        <v/>
      </c>
      <c r="J21" s="117">
        <f>IF(H21="","",H21-I21)</f>
        <v/>
      </c>
      <c r="K21" s="55">
        <f>IF(OR(E21="",F21=""),"",F21/E21-1)</f>
        <v/>
      </c>
      <c r="L21" s="54">
        <f>IF(OR(C21="",D21=""),"",D21-C21)</f>
        <v/>
      </c>
      <c r="M21" s="30" t="inlineStr"/>
      <c r="N21" s="32">
        <f>IF(J21="","",IF(J21&gt;0,"WIN","LOSS"))</f>
        <v/>
      </c>
    </row>
    <row r="22">
      <c r="A22" s="49">
        <f>IF(B22="","",ROW()-3)</f>
        <v/>
      </c>
      <c r="B22" s="30" t="inlineStr"/>
      <c r="C22" s="122" t="n"/>
      <c r="D22" s="122" t="n"/>
      <c r="E22" s="123" t="inlineStr"/>
      <c r="F22" s="123" t="inlineStr"/>
      <c r="G22" s="27" t="inlineStr"/>
      <c r="H22" s="118">
        <f>IF(OR(E22="",F22="",G22=""),"",(F22-E22)*G22)</f>
        <v/>
      </c>
      <c r="I22" s="118">
        <f>IF(OR(E22="",F22="",G22=""),"",40+0.001*F22*G22+0.0000345*(E22+F22)*G22)</f>
        <v/>
      </c>
      <c r="J22" s="118">
        <f>IF(H22="","",H22-I22)</f>
        <v/>
      </c>
      <c r="K22" s="48">
        <f>IF(OR(E22="",F22=""),"",F22/E22-1)</f>
        <v/>
      </c>
      <c r="L22" s="49">
        <f>IF(OR(C22="",D22=""),"",D22-C22)</f>
        <v/>
      </c>
      <c r="M22" s="30" t="inlineStr"/>
      <c r="N22" s="25">
        <f>IF(J22="","",IF(J22&gt;0,"WIN","LOSS"))</f>
        <v/>
      </c>
    </row>
    <row r="23">
      <c r="A23" s="54">
        <f>IF(B23="","",ROW()-3)</f>
        <v/>
      </c>
      <c r="B23" s="30" t="inlineStr"/>
      <c r="C23" s="122" t="n"/>
      <c r="D23" s="122" t="n"/>
      <c r="E23" s="123" t="inlineStr"/>
      <c r="F23" s="123" t="inlineStr"/>
      <c r="G23" s="27" t="inlineStr"/>
      <c r="H23" s="117">
        <f>IF(OR(E23="",F23="",G23=""),"",(F23-E23)*G23)</f>
        <v/>
      </c>
      <c r="I23" s="117">
        <f>IF(OR(E23="",F23="",G23=""),"",40+0.001*F23*G23+0.0000345*(E23+F23)*G23)</f>
        <v/>
      </c>
      <c r="J23" s="117">
        <f>IF(H23="","",H23-I23)</f>
        <v/>
      </c>
      <c r="K23" s="55">
        <f>IF(OR(E23="",F23=""),"",F23/E23-1)</f>
        <v/>
      </c>
      <c r="L23" s="54">
        <f>IF(OR(C23="",D23=""),"",D23-C23)</f>
        <v/>
      </c>
      <c r="M23" s="30" t="inlineStr"/>
      <c r="N23" s="32">
        <f>IF(J23="","",IF(J23&gt;0,"WIN","LOSS"))</f>
        <v/>
      </c>
    </row>
    <row r="24">
      <c r="A24" s="49">
        <f>IF(B24="","",ROW()-3)</f>
        <v/>
      </c>
      <c r="B24" s="30" t="inlineStr"/>
      <c r="C24" s="122" t="n"/>
      <c r="D24" s="122" t="n"/>
      <c r="E24" s="123" t="inlineStr"/>
      <c r="F24" s="123" t="inlineStr"/>
      <c r="G24" s="27" t="inlineStr"/>
      <c r="H24" s="118">
        <f>IF(OR(E24="",F24="",G24=""),"",(F24-E24)*G24)</f>
        <v/>
      </c>
      <c r="I24" s="118">
        <f>IF(OR(E24="",F24="",G24=""),"",40+0.001*F24*G24+0.0000345*(E24+F24)*G24)</f>
        <v/>
      </c>
      <c r="J24" s="118">
        <f>IF(H24="","",H24-I24)</f>
        <v/>
      </c>
      <c r="K24" s="48">
        <f>IF(OR(E24="",F24=""),"",F24/E24-1)</f>
        <v/>
      </c>
      <c r="L24" s="49">
        <f>IF(OR(C24="",D24=""),"",D24-C24)</f>
        <v/>
      </c>
      <c r="M24" s="30" t="inlineStr"/>
      <c r="N24" s="25">
        <f>IF(J24="","",IF(J24&gt;0,"WIN","LOSS"))</f>
        <v/>
      </c>
    </row>
    <row r="25">
      <c r="A25" s="54">
        <f>IF(B25="","",ROW()-3)</f>
        <v/>
      </c>
      <c r="B25" s="30" t="inlineStr"/>
      <c r="C25" s="122" t="n"/>
      <c r="D25" s="122" t="n"/>
      <c r="E25" s="123" t="inlineStr"/>
      <c r="F25" s="123" t="inlineStr"/>
      <c r="G25" s="27" t="inlineStr"/>
      <c r="H25" s="117">
        <f>IF(OR(E25="",F25="",G25=""),"",(F25-E25)*G25)</f>
        <v/>
      </c>
      <c r="I25" s="117">
        <f>IF(OR(E25="",F25="",G25=""),"",40+0.001*F25*G25+0.0000345*(E25+F25)*G25)</f>
        <v/>
      </c>
      <c r="J25" s="117">
        <f>IF(H25="","",H25-I25)</f>
        <v/>
      </c>
      <c r="K25" s="55">
        <f>IF(OR(E25="",F25=""),"",F25/E25-1)</f>
        <v/>
      </c>
      <c r="L25" s="54">
        <f>IF(OR(C25="",D25=""),"",D25-C25)</f>
        <v/>
      </c>
      <c r="M25" s="30" t="inlineStr"/>
      <c r="N25" s="32">
        <f>IF(J25="","",IF(J25&gt;0,"WIN","LOSS"))</f>
        <v/>
      </c>
    </row>
    <row r="26">
      <c r="A26" s="49">
        <f>IF(B26="","",ROW()-3)</f>
        <v/>
      </c>
      <c r="B26" s="30" t="inlineStr"/>
      <c r="C26" s="122" t="n"/>
      <c r="D26" s="122" t="n"/>
      <c r="E26" s="123" t="inlineStr"/>
      <c r="F26" s="123" t="inlineStr"/>
      <c r="G26" s="27" t="inlineStr"/>
      <c r="H26" s="118">
        <f>IF(OR(E26="",F26="",G26=""),"",(F26-E26)*G26)</f>
        <v/>
      </c>
      <c r="I26" s="118">
        <f>IF(OR(E26="",F26="",G26=""),"",40+0.001*F26*G26+0.0000345*(E26+F26)*G26)</f>
        <v/>
      </c>
      <c r="J26" s="118">
        <f>IF(H26="","",H26-I26)</f>
        <v/>
      </c>
      <c r="K26" s="48">
        <f>IF(OR(E26="",F26=""),"",F26/E26-1)</f>
        <v/>
      </c>
      <c r="L26" s="49">
        <f>IF(OR(C26="",D26=""),"",D26-C26)</f>
        <v/>
      </c>
      <c r="M26" s="30" t="inlineStr"/>
      <c r="N26" s="25">
        <f>IF(J26="","",IF(J26&gt;0,"WIN","LOSS"))</f>
        <v/>
      </c>
    </row>
    <row r="27">
      <c r="A27" s="54">
        <f>IF(B27="","",ROW()-3)</f>
        <v/>
      </c>
      <c r="B27" s="30" t="inlineStr"/>
      <c r="C27" s="122" t="n"/>
      <c r="D27" s="122" t="n"/>
      <c r="E27" s="123" t="inlineStr"/>
      <c r="F27" s="123" t="inlineStr"/>
      <c r="G27" s="27" t="inlineStr"/>
      <c r="H27" s="117">
        <f>IF(OR(E27="",F27="",G27=""),"",(F27-E27)*G27)</f>
        <v/>
      </c>
      <c r="I27" s="117">
        <f>IF(OR(E27="",F27="",G27=""),"",40+0.001*F27*G27+0.0000345*(E27+F27)*G27)</f>
        <v/>
      </c>
      <c r="J27" s="117">
        <f>IF(H27="","",H27-I27)</f>
        <v/>
      </c>
      <c r="K27" s="55">
        <f>IF(OR(E27="",F27=""),"",F27/E27-1)</f>
        <v/>
      </c>
      <c r="L27" s="54">
        <f>IF(OR(C27="",D27=""),"",D27-C27)</f>
        <v/>
      </c>
      <c r="M27" s="30" t="inlineStr"/>
      <c r="N27" s="32">
        <f>IF(J27="","",IF(J27&gt;0,"WIN","LOSS"))</f>
        <v/>
      </c>
    </row>
    <row r="28">
      <c r="A28" s="49">
        <f>IF(B28="","",ROW()-3)</f>
        <v/>
      </c>
      <c r="B28" s="30" t="inlineStr"/>
      <c r="C28" s="122" t="n"/>
      <c r="D28" s="122" t="n"/>
      <c r="E28" s="123" t="inlineStr"/>
      <c r="F28" s="123" t="inlineStr"/>
      <c r="G28" s="27" t="inlineStr"/>
      <c r="H28" s="118">
        <f>IF(OR(E28="",F28="",G28=""),"",(F28-E28)*G28)</f>
        <v/>
      </c>
      <c r="I28" s="118">
        <f>IF(OR(E28="",F28="",G28=""),"",40+0.001*F28*G28+0.0000345*(E28+F28)*G28)</f>
        <v/>
      </c>
      <c r="J28" s="118">
        <f>IF(H28="","",H28-I28)</f>
        <v/>
      </c>
      <c r="K28" s="48">
        <f>IF(OR(E28="",F28=""),"",F28/E28-1)</f>
        <v/>
      </c>
      <c r="L28" s="49">
        <f>IF(OR(C28="",D28=""),"",D28-C28)</f>
        <v/>
      </c>
      <c r="M28" s="30" t="inlineStr"/>
      <c r="N28" s="25">
        <f>IF(J28="","",IF(J28&gt;0,"WIN","LOSS"))</f>
        <v/>
      </c>
    </row>
    <row r="29">
      <c r="A29" s="54">
        <f>IF(B29="","",ROW()-3)</f>
        <v/>
      </c>
      <c r="B29" s="30" t="inlineStr"/>
      <c r="C29" s="122" t="n"/>
      <c r="D29" s="122" t="n"/>
      <c r="E29" s="123" t="inlineStr"/>
      <c r="F29" s="123" t="inlineStr"/>
      <c r="G29" s="27" t="inlineStr"/>
      <c r="H29" s="117">
        <f>IF(OR(E29="",F29="",G29=""),"",(F29-E29)*G29)</f>
        <v/>
      </c>
      <c r="I29" s="117">
        <f>IF(OR(E29="",F29="",G29=""),"",40+0.001*F29*G29+0.0000345*(E29+F29)*G29)</f>
        <v/>
      </c>
      <c r="J29" s="117">
        <f>IF(H29="","",H29-I29)</f>
        <v/>
      </c>
      <c r="K29" s="55">
        <f>IF(OR(E29="",F29=""),"",F29/E29-1)</f>
        <v/>
      </c>
      <c r="L29" s="54">
        <f>IF(OR(C29="",D29=""),"",D29-C29)</f>
        <v/>
      </c>
      <c r="M29" s="30" t="inlineStr"/>
      <c r="N29" s="32">
        <f>IF(J29="","",IF(J29&gt;0,"WIN","LOSS"))</f>
        <v/>
      </c>
    </row>
    <row r="30">
      <c r="A30" s="49">
        <f>IF(B30="","",ROW()-3)</f>
        <v/>
      </c>
      <c r="B30" s="30" t="inlineStr"/>
      <c r="C30" s="122" t="n"/>
      <c r="D30" s="122" t="n"/>
      <c r="E30" s="123" t="inlineStr"/>
      <c r="F30" s="123" t="inlineStr"/>
      <c r="G30" s="27" t="inlineStr"/>
      <c r="H30" s="118">
        <f>IF(OR(E30="",F30="",G30=""),"",(F30-E30)*G30)</f>
        <v/>
      </c>
      <c r="I30" s="118">
        <f>IF(OR(E30="",F30="",G30=""),"",40+0.001*F30*G30+0.0000345*(E30+F30)*G30)</f>
        <v/>
      </c>
      <c r="J30" s="118">
        <f>IF(H30="","",H30-I30)</f>
        <v/>
      </c>
      <c r="K30" s="48">
        <f>IF(OR(E30="",F30=""),"",F30/E30-1)</f>
        <v/>
      </c>
      <c r="L30" s="49">
        <f>IF(OR(C30="",D30=""),"",D30-C30)</f>
        <v/>
      </c>
      <c r="M30" s="30" t="inlineStr"/>
      <c r="N30" s="25">
        <f>IF(J30="","",IF(J30&gt;0,"WIN","LOSS"))</f>
        <v/>
      </c>
    </row>
    <row r="31">
      <c r="A31" s="54">
        <f>IF(B31="","",ROW()-3)</f>
        <v/>
      </c>
      <c r="B31" s="30" t="inlineStr"/>
      <c r="C31" s="122" t="n"/>
      <c r="D31" s="122" t="n"/>
      <c r="E31" s="123" t="inlineStr"/>
      <c r="F31" s="123" t="inlineStr"/>
      <c r="G31" s="27" t="inlineStr"/>
      <c r="H31" s="117">
        <f>IF(OR(E31="",F31="",G31=""),"",(F31-E31)*G31)</f>
        <v/>
      </c>
      <c r="I31" s="117">
        <f>IF(OR(E31="",F31="",G31=""),"",40+0.001*F31*G31+0.0000345*(E31+F31)*G31)</f>
        <v/>
      </c>
      <c r="J31" s="117">
        <f>IF(H31="","",H31-I31)</f>
        <v/>
      </c>
      <c r="K31" s="55">
        <f>IF(OR(E31="",F31=""),"",F31/E31-1)</f>
        <v/>
      </c>
      <c r="L31" s="54">
        <f>IF(OR(C31="",D31=""),"",D31-C31)</f>
        <v/>
      </c>
      <c r="M31" s="30" t="inlineStr"/>
      <c r="N31" s="32">
        <f>IF(J31="","",IF(J31&gt;0,"WIN","LOSS"))</f>
        <v/>
      </c>
    </row>
    <row r="32">
      <c r="A32" s="49">
        <f>IF(B32="","",ROW()-3)</f>
        <v/>
      </c>
      <c r="B32" s="30" t="inlineStr"/>
      <c r="C32" s="122" t="n"/>
      <c r="D32" s="122" t="n"/>
      <c r="E32" s="123" t="inlineStr"/>
      <c r="F32" s="123" t="inlineStr"/>
      <c r="G32" s="27" t="inlineStr"/>
      <c r="H32" s="118">
        <f>IF(OR(E32="",F32="",G32=""),"",(F32-E32)*G32)</f>
        <v/>
      </c>
      <c r="I32" s="118">
        <f>IF(OR(E32="",F32="",G32=""),"",40+0.001*F32*G32+0.0000345*(E32+F32)*G32)</f>
        <v/>
      </c>
      <c r="J32" s="118">
        <f>IF(H32="","",H32-I32)</f>
        <v/>
      </c>
      <c r="K32" s="48">
        <f>IF(OR(E32="",F32=""),"",F32/E32-1)</f>
        <v/>
      </c>
      <c r="L32" s="49">
        <f>IF(OR(C32="",D32=""),"",D32-C32)</f>
        <v/>
      </c>
      <c r="M32" s="30" t="inlineStr"/>
      <c r="N32" s="25">
        <f>IF(J32="","",IF(J32&gt;0,"WIN","LOSS"))</f>
        <v/>
      </c>
    </row>
    <row r="33">
      <c r="A33" s="54">
        <f>IF(B33="","",ROW()-3)</f>
        <v/>
      </c>
      <c r="B33" s="30" t="inlineStr"/>
      <c r="C33" s="122" t="n"/>
      <c r="D33" s="122" t="n"/>
      <c r="E33" s="123" t="inlineStr"/>
      <c r="F33" s="123" t="inlineStr"/>
      <c r="G33" s="27" t="inlineStr"/>
      <c r="H33" s="117">
        <f>IF(OR(E33="",F33="",G33=""),"",(F33-E33)*G33)</f>
        <v/>
      </c>
      <c r="I33" s="117">
        <f>IF(OR(E33="",F33="",G33=""),"",40+0.001*F33*G33+0.0000345*(E33+F33)*G33)</f>
        <v/>
      </c>
      <c r="J33" s="117">
        <f>IF(H33="","",H33-I33)</f>
        <v/>
      </c>
      <c r="K33" s="55">
        <f>IF(OR(E33="",F33=""),"",F33/E33-1)</f>
        <v/>
      </c>
      <c r="L33" s="54">
        <f>IF(OR(C33="",D33=""),"",D33-C33)</f>
        <v/>
      </c>
      <c r="M33" s="30" t="inlineStr"/>
      <c r="N33" s="32">
        <f>IF(J33="","",IF(J33&gt;0,"WIN","LOSS"))</f>
        <v/>
      </c>
    </row>
    <row r="35">
      <c r="A35" s="42" t="inlineStr">
        <is>
          <t>TRADE SUMMARY (auto-updates)</t>
        </is>
      </c>
      <c r="B35" s="121" t="n"/>
      <c r="C35" s="121" t="n"/>
      <c r="D35" s="121" t="n"/>
      <c r="E35" s="121" t="n"/>
      <c r="F35" s="121" t="n"/>
      <c r="G35" s="121" t="n"/>
      <c r="H35" s="121" t="n"/>
      <c r="I35" s="121" t="n"/>
      <c r="J35" s="121" t="n"/>
      <c r="K35" s="121" t="n"/>
      <c r="L35" s="121" t="n"/>
      <c r="M35" s="121" t="n"/>
      <c r="N35" s="51" t="n"/>
    </row>
    <row r="36">
      <c r="A36" s="50" t="inlineStr">
        <is>
          <t>Total trades</t>
        </is>
      </c>
      <c r="B36" s="56">
        <f>COUNTA(B4:B33)</f>
        <v/>
      </c>
      <c r="C36" s="53" t="n"/>
      <c r="D36" s="53" t="n"/>
      <c r="E36" s="53" t="n"/>
      <c r="F36" s="53" t="n"/>
      <c r="G36" s="53" t="n"/>
      <c r="H36" s="53" t="n"/>
      <c r="I36" s="53" t="n"/>
      <c r="J36" s="53" t="n"/>
      <c r="K36" s="53" t="n"/>
      <c r="L36" s="53" t="n"/>
      <c r="M36" s="53" t="n"/>
      <c r="N36" s="53" t="n"/>
    </row>
    <row r="37">
      <c r="A37" s="57" t="inlineStr">
        <is>
          <t>Winning trades</t>
        </is>
      </c>
      <c r="B37" s="52">
        <f>COUNTIF(N4:N33,"WIN")</f>
        <v/>
      </c>
      <c r="C37" s="53" t="n"/>
      <c r="D37" s="53" t="n"/>
      <c r="E37" s="53" t="n"/>
      <c r="F37" s="53" t="n"/>
      <c r="G37" s="53" t="n"/>
      <c r="H37" s="53" t="n"/>
      <c r="I37" s="53" t="n"/>
      <c r="J37" s="53" t="n"/>
      <c r="K37" s="53" t="n"/>
      <c r="L37" s="53" t="n"/>
      <c r="M37" s="53" t="n"/>
      <c r="N37" s="53" t="n"/>
    </row>
    <row r="38">
      <c r="A38" s="50" t="inlineStr">
        <is>
          <t>Losing trades</t>
        </is>
      </c>
      <c r="B38" s="56">
        <f>COUNTIF(N4:N33,"LOSS")</f>
        <v/>
      </c>
      <c r="C38" s="53" t="n"/>
      <c r="D38" s="53" t="n"/>
      <c r="E38" s="53" t="n"/>
      <c r="F38" s="53" t="n"/>
      <c r="G38" s="53" t="n"/>
      <c r="H38" s="53" t="n"/>
      <c r="I38" s="53" t="n"/>
      <c r="J38" s="53" t="n"/>
      <c r="K38" s="53" t="n"/>
      <c r="L38" s="53" t="n"/>
      <c r="M38" s="53" t="n"/>
      <c r="N38" s="53" t="n"/>
    </row>
    <row r="39">
      <c r="A39" s="57" t="inlineStr">
        <is>
          <t>Win rate</t>
        </is>
      </c>
      <c r="B39" s="125">
        <f>IFERROR(B37/B36,"")</f>
        <v/>
      </c>
      <c r="C39" s="53" t="n"/>
      <c r="D39" s="53" t="n"/>
      <c r="E39" s="53" t="n"/>
      <c r="F39" s="53" t="n"/>
      <c r="G39" s="53" t="n"/>
      <c r="H39" s="53" t="n"/>
      <c r="I39" s="53" t="n"/>
      <c r="J39" s="53" t="n"/>
      <c r="K39" s="53" t="n"/>
      <c r="L39" s="53" t="n"/>
      <c r="M39" s="53" t="n"/>
      <c r="N39" s="53" t="n"/>
    </row>
    <row r="40">
      <c r="A40" s="50" t="inlineStr">
        <is>
          <t>Total gross P&amp;L (Rs)</t>
        </is>
      </c>
      <c r="B40" s="126">
        <f>IFERROR(SUM(H4:H33),"")</f>
        <v/>
      </c>
      <c r="C40" s="53" t="n"/>
      <c r="D40" s="53" t="n"/>
      <c r="E40" s="53" t="n"/>
      <c r="F40" s="53" t="n"/>
      <c r="G40" s="53" t="n"/>
      <c r="H40" s="53" t="n"/>
      <c r="I40" s="53" t="n"/>
      <c r="J40" s="53" t="n"/>
      <c r="K40" s="53" t="n"/>
      <c r="L40" s="53" t="n"/>
      <c r="M40" s="53" t="n"/>
      <c r="N40" s="53" t="n"/>
    </row>
    <row r="41">
      <c r="A41" s="57" t="inlineStr">
        <is>
          <t>Total costs (Rs)</t>
        </is>
      </c>
      <c r="B41" s="118">
        <f>IFERROR(SUM(I4:I33),"")</f>
        <v/>
      </c>
      <c r="C41" s="53" t="n"/>
      <c r="D41" s="53" t="n"/>
      <c r="E41" s="53" t="n"/>
      <c r="F41" s="53" t="n"/>
      <c r="G41" s="53" t="n"/>
      <c r="H41" s="53" t="n"/>
      <c r="I41" s="53" t="n"/>
      <c r="J41" s="53" t="n"/>
      <c r="K41" s="53" t="n"/>
      <c r="L41" s="53" t="n"/>
      <c r="M41" s="53" t="n"/>
      <c r="N41" s="53" t="n"/>
    </row>
    <row r="42">
      <c r="A42" s="50" t="inlineStr">
        <is>
          <t>Total net P&amp;L (Rs)</t>
        </is>
      </c>
      <c r="B42" s="126">
        <f>IFERROR(SUM(J4:J33),"")</f>
        <v/>
      </c>
      <c r="C42" s="53" t="n"/>
      <c r="D42" s="53" t="n"/>
      <c r="E42" s="53" t="n"/>
      <c r="F42" s="53" t="n"/>
      <c r="G42" s="53" t="n"/>
      <c r="H42" s="53" t="n"/>
      <c r="I42" s="53" t="n"/>
      <c r="J42" s="53" t="n"/>
      <c r="K42" s="53" t="n"/>
      <c r="L42" s="53" t="n"/>
      <c r="M42" s="53" t="n"/>
      <c r="N42" s="53" t="n"/>
    </row>
    <row r="43">
      <c r="A43" s="57" t="inlineStr">
        <is>
          <t>Gross wins (Rs)</t>
        </is>
      </c>
      <c r="B43" s="118">
        <f>IFERROR(SUMIF(H4:H33,"&gt;"&amp;0,H4:H33),"")</f>
        <v/>
      </c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53" t="n"/>
      <c r="M43" s="53" t="n"/>
      <c r="N43" s="53" t="n"/>
    </row>
    <row r="44">
      <c r="A44" s="50" t="inlineStr">
        <is>
          <t>Gross losses (Rs)</t>
        </is>
      </c>
      <c r="B44" s="126">
        <f>IFERROR(SUMIF(H4:H33,"&lt;"&amp;0,H4:H33),"")</f>
        <v/>
      </c>
      <c r="C44" s="53" t="n"/>
      <c r="D44" s="53" t="n"/>
      <c r="E44" s="53" t="n"/>
      <c r="F44" s="53" t="n"/>
      <c r="G44" s="53" t="n"/>
      <c r="H44" s="53" t="n"/>
      <c r="I44" s="53" t="n"/>
      <c r="J44" s="53" t="n"/>
      <c r="K44" s="53" t="n"/>
      <c r="L44" s="53" t="n"/>
      <c r="M44" s="53" t="n"/>
      <c r="N44" s="53" t="n"/>
    </row>
    <row r="45">
      <c r="A45" s="57" t="inlineStr">
        <is>
          <t>Profit Factor</t>
        </is>
      </c>
      <c r="B45" s="60">
        <f>IFERROR(B43/ABS(B44),"")</f>
        <v/>
      </c>
      <c r="C45" s="53" t="n"/>
      <c r="D45" s="53" t="n"/>
      <c r="E45" s="53" t="n"/>
      <c r="F45" s="53" t="n"/>
      <c r="G45" s="53" t="n"/>
      <c r="H45" s="53" t="n"/>
      <c r="I45" s="53" t="n"/>
      <c r="J45" s="53" t="n"/>
      <c r="K45" s="53" t="n"/>
      <c r="L45" s="53" t="n"/>
      <c r="M45" s="53" t="n"/>
      <c r="N45" s="53" t="n"/>
    </row>
    <row r="46">
      <c r="A46" s="50" t="inlineStr">
        <is>
          <t>Average win % (per trade)</t>
        </is>
      </c>
      <c r="B46" s="61">
        <f>IFERROR(AVERAGEIF(N4:N33,"WIN",K4:K33),"")</f>
        <v/>
      </c>
      <c r="C46" s="53" t="n"/>
      <c r="D46" s="53" t="n"/>
      <c r="E46" s="53" t="n"/>
      <c r="F46" s="53" t="n"/>
      <c r="G46" s="53" t="n"/>
      <c r="H46" s="53" t="n"/>
      <c r="I46" s="53" t="n"/>
      <c r="J46" s="53" t="n"/>
      <c r="K46" s="53" t="n"/>
      <c r="L46" s="53" t="n"/>
      <c r="M46" s="53" t="n"/>
      <c r="N46" s="53" t="n"/>
    </row>
    <row r="47">
      <c r="A47" s="57" t="inlineStr">
        <is>
          <t>Average loss % (per trade)</t>
        </is>
      </c>
      <c r="B47" s="48">
        <f>IFERROR(AVERAGEIF(N4:N33,"LOSS",K4:K33),"")</f>
        <v/>
      </c>
      <c r="C47" s="53" t="n"/>
      <c r="D47" s="53" t="n"/>
      <c r="E47" s="53" t="n"/>
      <c r="F47" s="53" t="n"/>
      <c r="G47" s="53" t="n"/>
      <c r="H47" s="53" t="n"/>
      <c r="I47" s="53" t="n"/>
      <c r="J47" s="53" t="n"/>
      <c r="K47" s="53" t="n"/>
      <c r="L47" s="53" t="n"/>
      <c r="M47" s="53" t="n"/>
      <c r="N47" s="53" t="n"/>
    </row>
    <row r="48">
      <c r="A48" s="50" t="inlineStr">
        <is>
          <t>Average hold days</t>
        </is>
      </c>
      <c r="B48" s="62">
        <f>IFERROR(AVERAGE(L4:L33),"")</f>
        <v/>
      </c>
      <c r="C48" s="53" t="n"/>
      <c r="D48" s="53" t="n"/>
      <c r="E48" s="53" t="n"/>
      <c r="F48" s="53" t="n"/>
      <c r="G48" s="53" t="n"/>
      <c r="H48" s="53" t="n"/>
      <c r="I48" s="53" t="n"/>
      <c r="J48" s="53" t="n"/>
      <c r="K48" s="53" t="n"/>
      <c r="L48" s="53" t="n"/>
      <c r="M48" s="53" t="n"/>
      <c r="N48" s="53" t="n"/>
    </row>
    <row r="49">
      <c r="A49" s="57" t="inlineStr">
        <is>
          <t>Exits by SL</t>
        </is>
      </c>
      <c r="B49" s="52">
        <f>COUNTIF(M4:M33,"SL")</f>
        <v/>
      </c>
      <c r="C49" s="53" t="n"/>
      <c r="D49" s="53" t="n"/>
      <c r="E49" s="53" t="n"/>
      <c r="F49" s="53" t="n"/>
      <c r="G49" s="53" t="n"/>
      <c r="H49" s="53" t="n"/>
      <c r="I49" s="53" t="n"/>
      <c r="J49" s="53" t="n"/>
      <c r="K49" s="53" t="n"/>
      <c r="L49" s="53" t="n"/>
      <c r="M49" s="53" t="n"/>
      <c r="N49" s="53" t="n"/>
    </row>
    <row r="50">
      <c r="A50" s="50" t="inlineStr">
        <is>
          <t>Exits by Rebalance</t>
        </is>
      </c>
      <c r="B50" s="56">
        <f>COUNTIF(M4:M33,"Rebalance")</f>
        <v/>
      </c>
      <c r="C50" s="53" t="n"/>
      <c r="D50" s="53" t="n"/>
      <c r="E50" s="53" t="n"/>
      <c r="F50" s="53" t="n"/>
      <c r="G50" s="53" t="n"/>
      <c r="H50" s="53" t="n"/>
      <c r="I50" s="53" t="n"/>
      <c r="J50" s="53" t="n"/>
      <c r="K50" s="53" t="n"/>
      <c r="L50" s="53" t="n"/>
      <c r="M50" s="53" t="n"/>
      <c r="N50" s="53" t="n"/>
    </row>
    <row r="51">
      <c r="A51" s="57" t="inlineStr">
        <is>
          <t>Exits by Regime</t>
        </is>
      </c>
      <c r="B51" s="52">
        <f>COUNTIF(M4:M33,"Regime")</f>
        <v/>
      </c>
      <c r="C51" s="53" t="n"/>
      <c r="D51" s="53" t="n"/>
      <c r="E51" s="53" t="n"/>
      <c r="F51" s="53" t="n"/>
      <c r="G51" s="53" t="n"/>
      <c r="H51" s="53" t="n"/>
      <c r="I51" s="53" t="n"/>
      <c r="J51" s="53" t="n"/>
      <c r="K51" s="53" t="n"/>
      <c r="L51" s="53" t="n"/>
      <c r="M51" s="53" t="n"/>
      <c r="N51" s="53" t="n"/>
    </row>
  </sheetData>
  <mergeCells count="19">
    <mergeCell ref="A43"/>
    <mergeCell ref="A38"/>
    <mergeCell ref="A44"/>
    <mergeCell ref="A1:N1"/>
    <mergeCell ref="A40"/>
    <mergeCell ref="A48"/>
    <mergeCell ref="A39"/>
    <mergeCell ref="A49"/>
    <mergeCell ref="A51"/>
    <mergeCell ref="A36"/>
    <mergeCell ref="A45"/>
    <mergeCell ref="A2:N2"/>
    <mergeCell ref="A41"/>
    <mergeCell ref="A46"/>
    <mergeCell ref="A37"/>
    <mergeCell ref="A50"/>
    <mergeCell ref="A35:N35"/>
    <mergeCell ref="A42"/>
    <mergeCell ref="A47"/>
  </mergeCells>
  <dataValidations count="30">
    <dataValidation sqref="M4" showDropDown="0" showInputMessage="0" showErrorMessage="0" allowBlank="1" type="list">
      <formula1>"SL,Rebalance,Regime,EoP"</formula1>
    </dataValidation>
    <dataValidation sqref="M5" showDropDown="0" showInputMessage="0" showErrorMessage="0" allowBlank="1" type="list">
      <formula1>"SL,Rebalance,Regime,EoP"</formula1>
    </dataValidation>
    <dataValidation sqref="M6" showDropDown="0" showInputMessage="0" showErrorMessage="0" allowBlank="1" type="list">
      <formula1>"SL,Rebalance,Regime,EoP"</formula1>
    </dataValidation>
    <dataValidation sqref="M7" showDropDown="0" showInputMessage="0" showErrorMessage="0" allowBlank="1" type="list">
      <formula1>"SL,Rebalance,Regime,EoP"</formula1>
    </dataValidation>
    <dataValidation sqref="M8" showDropDown="0" showInputMessage="0" showErrorMessage="0" allowBlank="1" type="list">
      <formula1>"SL,Rebalance,Regime,EoP"</formula1>
    </dataValidation>
    <dataValidation sqref="M9" showDropDown="0" showInputMessage="0" showErrorMessage="0" allowBlank="1" type="list">
      <formula1>"SL,Rebalance,Regime,EoP"</formula1>
    </dataValidation>
    <dataValidation sqref="M10" showDropDown="0" showInputMessage="0" showErrorMessage="0" allowBlank="1" type="list">
      <formula1>"SL,Rebalance,Regime,EoP"</formula1>
    </dataValidation>
    <dataValidation sqref="M11" showDropDown="0" showInputMessage="0" showErrorMessage="0" allowBlank="1" type="list">
      <formula1>"SL,Rebalance,Regime,EoP"</formula1>
    </dataValidation>
    <dataValidation sqref="M12" showDropDown="0" showInputMessage="0" showErrorMessage="0" allowBlank="1" type="list">
      <formula1>"SL,Rebalance,Regime,EoP"</formula1>
    </dataValidation>
    <dataValidation sqref="M13" showDropDown="0" showInputMessage="0" showErrorMessage="0" allowBlank="1" type="list">
      <formula1>"SL,Rebalance,Regime,EoP"</formula1>
    </dataValidation>
    <dataValidation sqref="M14" showDropDown="0" showInputMessage="0" showErrorMessage="0" allowBlank="1" type="list">
      <formula1>"SL,Rebalance,Regime,EoP"</formula1>
    </dataValidation>
    <dataValidation sqref="M15" showDropDown="0" showInputMessage="0" showErrorMessage="0" allowBlank="1" type="list">
      <formula1>"SL,Rebalance,Regime,EoP"</formula1>
    </dataValidation>
    <dataValidation sqref="M16" showDropDown="0" showInputMessage="0" showErrorMessage="0" allowBlank="1" type="list">
      <formula1>"SL,Rebalance,Regime,EoP"</formula1>
    </dataValidation>
    <dataValidation sqref="M17" showDropDown="0" showInputMessage="0" showErrorMessage="0" allowBlank="1" type="list">
      <formula1>"SL,Rebalance,Regime,EoP"</formula1>
    </dataValidation>
    <dataValidation sqref="M18" showDropDown="0" showInputMessage="0" showErrorMessage="0" allowBlank="1" type="list">
      <formula1>"SL,Rebalance,Regime,EoP"</formula1>
    </dataValidation>
    <dataValidation sqref="M19" showDropDown="0" showInputMessage="0" showErrorMessage="0" allowBlank="1" type="list">
      <formula1>"SL,Rebalance,Regime,EoP"</formula1>
    </dataValidation>
    <dataValidation sqref="M20" showDropDown="0" showInputMessage="0" showErrorMessage="0" allowBlank="1" type="list">
      <formula1>"SL,Rebalance,Regime,EoP"</formula1>
    </dataValidation>
    <dataValidation sqref="M21" showDropDown="0" showInputMessage="0" showErrorMessage="0" allowBlank="1" type="list">
      <formula1>"SL,Rebalance,Regime,EoP"</formula1>
    </dataValidation>
    <dataValidation sqref="M22" showDropDown="0" showInputMessage="0" showErrorMessage="0" allowBlank="1" type="list">
      <formula1>"SL,Rebalance,Regime,EoP"</formula1>
    </dataValidation>
    <dataValidation sqref="M23" showDropDown="0" showInputMessage="0" showErrorMessage="0" allowBlank="1" type="list">
      <formula1>"SL,Rebalance,Regime,EoP"</formula1>
    </dataValidation>
    <dataValidation sqref="M24" showDropDown="0" showInputMessage="0" showErrorMessage="0" allowBlank="1" type="list">
      <formula1>"SL,Rebalance,Regime,EoP"</formula1>
    </dataValidation>
    <dataValidation sqref="M25" showDropDown="0" showInputMessage="0" showErrorMessage="0" allowBlank="1" type="list">
      <formula1>"SL,Rebalance,Regime,EoP"</formula1>
    </dataValidation>
    <dataValidation sqref="M26" showDropDown="0" showInputMessage="0" showErrorMessage="0" allowBlank="1" type="list">
      <formula1>"SL,Rebalance,Regime,EoP"</formula1>
    </dataValidation>
    <dataValidation sqref="M27" showDropDown="0" showInputMessage="0" showErrorMessage="0" allowBlank="1" type="list">
      <formula1>"SL,Rebalance,Regime,EoP"</formula1>
    </dataValidation>
    <dataValidation sqref="M28" showDropDown="0" showInputMessage="0" showErrorMessage="0" allowBlank="1" type="list">
      <formula1>"SL,Rebalance,Regime,EoP"</formula1>
    </dataValidation>
    <dataValidation sqref="M29" showDropDown="0" showInputMessage="0" showErrorMessage="0" allowBlank="1" type="list">
      <formula1>"SL,Rebalance,Regime,EoP"</formula1>
    </dataValidation>
    <dataValidation sqref="M30" showDropDown="0" showInputMessage="0" showErrorMessage="0" allowBlank="1" type="list">
      <formula1>"SL,Rebalance,Regime,EoP"</formula1>
    </dataValidation>
    <dataValidation sqref="M31" showDropDown="0" showInputMessage="0" showErrorMessage="0" allowBlank="1" type="list">
      <formula1>"SL,Rebalance,Regime,EoP"</formula1>
    </dataValidation>
    <dataValidation sqref="M32" showDropDown="0" showInputMessage="0" showErrorMessage="0" allowBlank="1" type="list">
      <formula1>"SL,Rebalance,Regime,EoP"</formula1>
    </dataValidation>
    <dataValidation sqref="M33" showDropDown="0" showInputMessage="0" showErrorMessage="0" allowBlank="1" type="list">
      <formula1>"SL,Rebalance,Regime,EoP"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3" customWidth="1" min="2" max="2"/>
    <col width="8" customWidth="1" min="3" max="3"/>
    <col width="8" customWidth="1" min="4" max="4"/>
    <col width="40" customWidth="1" min="5" max="5"/>
    <col width="40" customWidth="1" min="6" max="6"/>
    <col width="40" customWidth="1" min="7" max="7"/>
    <col width="11" customWidth="1" min="8" max="8"/>
    <col width="11" customWidth="1" min="9" max="9"/>
    <col width="8" customWidth="1" min="10" max="10"/>
  </cols>
  <sheetData>
    <row r="1" ht="28" customHeight="1">
      <c r="A1" s="22" t="inlineStr">
        <is>
          <t>REBALANCE LOG  —  One row per rebalance event</t>
        </is>
      </c>
    </row>
    <row r="2" ht="20" customHeight="1">
      <c r="A2" s="44" t="inlineStr">
        <is>
          <t>Paper trading has 3 rebalance days: Day 10 (2026-06-27), Day 20 (2026-07-10), Day 30 (2026-07-24). Enter Exits, Entries, and Holds as comma-separated symbols.</t>
        </is>
      </c>
    </row>
    <row r="3" ht="40" customHeight="1">
      <c r="A3" s="24" t="inlineStr">
        <is>
          <t>#</t>
        </is>
      </c>
      <c r="B3" s="24" t="inlineStr">
        <is>
          <t>Date</t>
        </is>
      </c>
      <c r="C3" s="24" t="inlineStr">
        <is>
          <t>Regime</t>
        </is>
      </c>
      <c r="D3" s="24" t="inlineStr">
        <is>
          <t>Skipped?</t>
        </is>
      </c>
      <c r="E3" s="24" t="inlineStr">
        <is>
          <t>Top-10 Selected
(symbol : score)</t>
        </is>
      </c>
      <c r="F3" s="24" t="inlineStr">
        <is>
          <t>Exits
(comma-separated)</t>
        </is>
      </c>
      <c r="G3" s="24" t="inlineStr">
        <is>
          <t>Entries
(comma-separated)</t>
        </is>
      </c>
      <c r="H3" s="24" t="inlineStr">
        <is>
          <t>Cash Before
(Rs)</t>
        </is>
      </c>
      <c r="I3" s="24" t="inlineStr">
        <is>
          <t>Cash After
(Rs)</t>
        </is>
      </c>
      <c r="J3" s="24" t="inlineStr">
        <is>
          <t>Turnover
(%)</t>
        </is>
      </c>
    </row>
    <row r="4" ht="80" customHeight="1">
      <c r="A4" s="38" t="n">
        <v>1</v>
      </c>
      <c r="B4" s="119" t="n">
        <v>46202</v>
      </c>
      <c r="C4" s="30" t="inlineStr"/>
      <c r="D4" s="30" t="inlineStr">
        <is>
          <t>NO</t>
        </is>
      </c>
      <c r="E4" s="63" t="n"/>
      <c r="F4" s="63" t="n"/>
      <c r="G4" s="63" t="n"/>
      <c r="H4" s="127" t="n"/>
      <c r="I4" s="127" t="n"/>
      <c r="J4" s="128" t="inlineStr"/>
    </row>
    <row r="5" ht="80" customHeight="1">
      <c r="A5" s="28" t="n">
        <v>2</v>
      </c>
      <c r="B5" s="129" t="n">
        <v>46216</v>
      </c>
      <c r="C5" s="30" t="inlineStr"/>
      <c r="D5" s="30" t="inlineStr">
        <is>
          <t>NO</t>
        </is>
      </c>
      <c r="E5" s="63" t="n"/>
      <c r="F5" s="63" t="n"/>
      <c r="G5" s="63" t="n"/>
      <c r="H5" s="127" t="n"/>
      <c r="I5" s="127" t="n"/>
      <c r="J5" s="128" t="inlineStr"/>
    </row>
    <row r="6" ht="80" customHeight="1">
      <c r="A6" s="38" t="n">
        <v>3</v>
      </c>
      <c r="B6" s="119" t="n">
        <v>46230</v>
      </c>
      <c r="C6" s="30" t="inlineStr"/>
      <c r="D6" s="30" t="inlineStr">
        <is>
          <t>NO</t>
        </is>
      </c>
      <c r="E6" s="63" t="n"/>
      <c r="F6" s="63" t="n"/>
      <c r="G6" s="63" t="n"/>
      <c r="H6" s="127" t="n"/>
      <c r="I6" s="127" t="n"/>
      <c r="J6" s="128" t="inlineStr"/>
    </row>
    <row r="8" ht="60" customHeight="1">
      <c r="A8" s="67" t="inlineStr">
        <is>
          <t>HOW TO RECORD A REBALANCE: (1) Enter regime. (2) If Bear, set Skipped=YES and stop. (3) Run final_validation.py — paste the top-10 symbols+scores in col E. (4) List stocks you sold in col F (not in new top-10). (5) List stocks you bought in col G (new in top-10). (6) Enter cash balance before/after fills. (7) Estimate turnover = (shares sold + shares bought) / (2 x total shares) x 100.</t>
        </is>
      </c>
      <c r="B8" s="121" t="n"/>
      <c r="C8" s="121" t="n"/>
      <c r="D8" s="121" t="n"/>
      <c r="E8" s="121" t="n"/>
      <c r="F8" s="121" t="n"/>
      <c r="G8" s="121" t="n"/>
      <c r="H8" s="121" t="n"/>
      <c r="I8" s="121" t="n"/>
      <c r="J8" s="51" t="n"/>
    </row>
  </sheetData>
  <mergeCells count="3">
    <mergeCell ref="A1:J1"/>
    <mergeCell ref="A8:J8"/>
    <mergeCell ref="A2:J2"/>
  </mergeCells>
  <dataValidations count="6">
    <dataValidation sqref="C4" showDropDown="0" showInputMessage="0" showErrorMessage="0" allowBlank="1" type="list">
      <formula1>"BULL,FLAT,BEAR"</formula1>
    </dataValidation>
    <dataValidation sqref="D4" showDropDown="0" showInputMessage="0" showErrorMessage="0" allowBlank="1" type="list">
      <formula1>"YES,NO"</formula1>
    </dataValidation>
    <dataValidation sqref="C5" showDropDown="0" showInputMessage="0" showErrorMessage="0" allowBlank="1" type="list">
      <formula1>"BULL,FLAT,BEAR"</formula1>
    </dataValidation>
    <dataValidation sqref="D5" showDropDown="0" showInputMessage="0" showErrorMessage="0" allowBlank="1" type="list">
      <formula1>"YES,NO"</formula1>
    </dataValidation>
    <dataValidation sqref="C6" showDropDown="0" showInputMessage="0" showErrorMessage="0" allowBlank="1" type="list">
      <formula1>"BULL,FLAT,BEAR"</formula1>
    </dataValidation>
    <dataValidation sqref="D6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8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</cols>
  <sheetData>
    <row r="1" ht="30" customHeight="1">
      <c r="A1" s="68" t="inlineStr">
        <is>
          <t>MONTHLY PERFORMANCE DASHBOARD  —  MoneyBot RS60/EP40</t>
        </is>
      </c>
    </row>
    <row r="2">
      <c r="A2" s="23" t="inlineStr">
        <is>
          <t>Pulls live from Trade_Log and Daily_Ops_Log. Enter the Nifty benchmark return in yellow. All other cells are formulas.</t>
        </is>
      </c>
    </row>
    <row r="4">
      <c r="A4" s="69" t="inlineStr">
        <is>
          <t>PORTFOLIO PERFORMANCE</t>
        </is>
      </c>
      <c r="B4" s="121" t="n"/>
      <c r="C4" s="121" t="n"/>
      <c r="D4" s="51" t="n"/>
    </row>
    <row r="5">
      <c r="A5" s="57" t="inlineStr">
        <is>
          <t>Paper Start Capital (Rs)</t>
        </is>
      </c>
      <c r="B5" s="130" t="n">
        <v>500000</v>
      </c>
      <c r="C5" s="71" t="n"/>
      <c r="D5" s="71" t="n"/>
    </row>
    <row r="6">
      <c r="A6" s="72" t="inlineStr">
        <is>
          <t>Current Portfolio Value (Rs)</t>
        </is>
      </c>
      <c r="B6" s="117">
        <f>IF(COUNTA(Daily_Ops_Log!H4:H33)&gt;0,LOOKUP(2,1/(Daily_Ops_Log!H4:H33&lt;&gt;""),Daily_Ops_Log!H4:H33),500000)</f>
        <v/>
      </c>
      <c r="C6" s="73" t="n"/>
      <c r="D6" s="73" t="n"/>
    </row>
    <row r="7">
      <c r="A7" s="57" t="inlineStr">
        <is>
          <t>Total Net P&amp;L (Rs)</t>
        </is>
      </c>
      <c r="B7" s="131">
        <f>IFERROR(SUM(Trade_Log!J4:J33),0)</f>
        <v/>
      </c>
      <c r="C7" s="71" t="n"/>
      <c r="D7" s="71" t="n"/>
    </row>
    <row r="8">
      <c r="A8" s="72" t="inlineStr">
        <is>
          <t>Period Return %</t>
        </is>
      </c>
      <c r="B8" s="55">
        <f>IFERROR((B6-B5)/B5,0)</f>
        <v/>
      </c>
      <c r="C8" s="73" t="n"/>
      <c r="D8" s="73" t="n"/>
    </row>
    <row r="9">
      <c r="A9" s="57" t="inlineStr">
        <is>
          <t>Nifty Period Return % (enter)</t>
        </is>
      </c>
      <c r="B9" s="75" t="inlineStr"/>
      <c r="C9" s="71" t="n"/>
      <c r="D9" s="71" t="n"/>
    </row>
    <row r="10">
      <c r="A10" s="72" t="inlineStr">
        <is>
          <t>Alpha vs Nifty (pp)</t>
        </is>
      </c>
      <c r="B10" s="55">
        <f>IF(OR(B8="",B9=""),"",B8-B9)</f>
        <v/>
      </c>
      <c r="C10" s="73" t="n"/>
      <c r="D10" s="73" t="n"/>
    </row>
    <row r="12">
      <c r="A12" s="69" t="inlineStr">
        <is>
          <t>TRADE QUALITY</t>
        </is>
      </c>
      <c r="B12" s="121" t="n"/>
      <c r="C12" s="121" t="n"/>
      <c r="D12" s="51" t="n"/>
    </row>
    <row r="13">
      <c r="A13" s="57" t="inlineStr">
        <is>
          <t>Total trades completed</t>
        </is>
      </c>
      <c r="B13" s="76">
        <f>IFERROR(Trade_Log!B36,0)</f>
        <v/>
      </c>
      <c r="C13" s="71" t="n"/>
      <c r="D13" s="71" t="n"/>
    </row>
    <row r="14">
      <c r="A14" s="72" t="inlineStr">
        <is>
          <t>Winning trades</t>
        </is>
      </c>
      <c r="B14" s="77">
        <f>IFERROR(Trade_Log!B37,0)</f>
        <v/>
      </c>
      <c r="C14" s="73" t="n"/>
      <c r="D14" s="73" t="n"/>
    </row>
    <row r="15">
      <c r="A15" s="57" t="inlineStr">
        <is>
          <t>Losing trades</t>
        </is>
      </c>
      <c r="B15" s="76">
        <f>IFERROR(Trade_Log!B38,0)</f>
        <v/>
      </c>
      <c r="C15" s="71" t="n"/>
      <c r="D15" s="71" t="n"/>
    </row>
    <row r="16">
      <c r="A16" s="72" t="inlineStr">
        <is>
          <t>Win rate %</t>
        </is>
      </c>
      <c r="B16" s="132">
        <f>IFERROR(Trade_Log!B39,0)</f>
        <v/>
      </c>
      <c r="C16" s="73" t="n"/>
      <c r="D16" s="73" t="n"/>
    </row>
    <row r="17">
      <c r="A17" s="57" t="inlineStr">
        <is>
          <t>Profit Factor</t>
        </is>
      </c>
      <c r="B17" s="79">
        <f>IFERROR(Trade_Log!B45,"")</f>
        <v/>
      </c>
      <c r="C17" s="71" t="n"/>
      <c r="D17" s="71" t="n"/>
    </row>
    <row r="18">
      <c r="A18" s="72" t="inlineStr">
        <is>
          <t>Average win %</t>
        </is>
      </c>
      <c r="B18" s="80">
        <f>IFERROR(Trade_Log!B46,"")</f>
        <v/>
      </c>
      <c r="C18" s="73" t="n"/>
      <c r="D18" s="73" t="n"/>
    </row>
    <row r="19">
      <c r="A19" s="57" t="inlineStr">
        <is>
          <t>Average loss %</t>
        </is>
      </c>
      <c r="B19" s="81">
        <f>IFERROR(Trade_Log!B47,"")</f>
        <v/>
      </c>
      <c r="C19" s="71" t="n"/>
      <c r="D19" s="71" t="n"/>
    </row>
    <row r="20">
      <c r="A20" s="72" t="inlineStr">
        <is>
          <t>Average hold days</t>
        </is>
      </c>
      <c r="B20" s="82">
        <f>IFERROR(Trade_Log!B48,"")</f>
        <v/>
      </c>
      <c r="C20" s="73" t="n"/>
      <c r="D20" s="73" t="n"/>
    </row>
    <row r="22">
      <c r="A22" s="69" t="inlineStr">
        <is>
          <t>COST ANALYSIS</t>
        </is>
      </c>
      <c r="B22" s="121" t="n"/>
      <c r="C22" s="121" t="n"/>
      <c r="D22" s="51" t="n"/>
    </row>
    <row r="23">
      <c r="A23" s="57" t="inlineStr">
        <is>
          <t>Total costs paid (Rs)</t>
        </is>
      </c>
      <c r="B23" s="131">
        <f>IFERROR(SUM(Trade_Log!I4:I33),0)</f>
        <v/>
      </c>
      <c r="C23" s="71" t="n"/>
      <c r="D23" s="71" t="n"/>
    </row>
    <row r="24">
      <c r="A24" s="72" t="inlineStr">
        <is>
          <t>Costs as % of start capital</t>
        </is>
      </c>
      <c r="B24" s="55">
        <f>IFERROR(B23/B5,0)</f>
        <v/>
      </c>
      <c r="C24" s="73" t="n"/>
      <c r="D24" s="73" t="n"/>
    </row>
    <row r="25">
      <c r="A25" s="57" t="inlineStr">
        <is>
          <t>Avg slippage per trade (enter)</t>
        </is>
      </c>
      <c r="B25" s="75" t="inlineStr"/>
      <c r="C25" s="71" t="n"/>
      <c r="D25" s="71" t="n"/>
    </row>
    <row r="27">
      <c r="A27" s="69" t="inlineStr">
        <is>
          <t>REGIME BREAKDOWN (30 days)</t>
        </is>
      </c>
      <c r="B27" s="121" t="n"/>
      <c r="C27" s="121" t="n"/>
      <c r="D27" s="51" t="n"/>
    </row>
    <row r="28">
      <c r="A28" s="72" t="inlineStr">
        <is>
          <t>Days in BULL regime</t>
        </is>
      </c>
      <c r="B28" s="77">
        <f>COUNTIF(Daily_Ops_Log!G4:G33,"BULL")</f>
        <v/>
      </c>
      <c r="C28" s="73" t="n"/>
      <c r="D28" s="73" t="n"/>
    </row>
    <row r="29">
      <c r="A29" s="57" t="inlineStr">
        <is>
          <t>Days in FLAT regime</t>
        </is>
      </c>
      <c r="B29" s="76">
        <f>COUNTIF(Daily_Ops_Log!G4:G33,"FLAT")</f>
        <v/>
      </c>
      <c r="C29" s="71" t="n"/>
      <c r="D29" s="71" t="n"/>
    </row>
    <row r="30">
      <c r="A30" s="72" t="inlineStr">
        <is>
          <t>Days in BEAR regime</t>
        </is>
      </c>
      <c r="B30" s="77">
        <f>COUNTIF(Daily_Ops_Log!G4:G33,"BEAR")</f>
        <v/>
      </c>
      <c r="C30" s="73" t="n"/>
      <c r="D30" s="73" t="n"/>
    </row>
    <row r="31">
      <c r="A31" s="57" t="inlineStr">
        <is>
          <t>% of days in cash (Bear)</t>
        </is>
      </c>
      <c r="B31" s="125">
        <f>IFERROR(B30/30,0)</f>
        <v/>
      </c>
      <c r="C31" s="71" t="n"/>
      <c r="D31" s="71" t="n"/>
    </row>
    <row r="33">
      <c r="A33" s="69" t="inlineStr">
        <is>
          <t>RED FLAG THRESHOLDS</t>
        </is>
      </c>
      <c r="B33" s="121" t="n"/>
      <c r="C33" s="121" t="n"/>
      <c r="D33" s="51" t="n"/>
    </row>
    <row r="34">
      <c r="A34" s="72" t="inlineStr">
        <is>
          <t>Profit Factor &gt;= 0.90?</t>
        </is>
      </c>
      <c r="B34" s="83">
        <f>IF(B17="","Awaiting data",IF(B17&gt;=0.9,"OK - PF "&amp;TEXT(B17,"0.00"),"WARNING: RED FLAG - PF "&amp;TEXT(B17,"0.00")))</f>
        <v/>
      </c>
      <c r="C34" s="73" t="n"/>
      <c r="D34" s="73" t="n"/>
    </row>
    <row r="35">
      <c r="A35" s="57" t="inlineStr">
        <is>
          <t>Trailing Nifty by &lt; 5%?</t>
        </is>
      </c>
      <c r="B35" s="84">
        <f>IF(B10="","Awaiting data",IF(B10&gt;=-0.05,"OK - Alpha "&amp;TEXT(B10*100,"0.0")&amp;"pp","WARNING: RED FLAG - Alpha "&amp;TEXT(B10*100,"0.0")&amp;"pp"))</f>
        <v/>
      </c>
      <c r="C35" s="71" t="n"/>
      <c r="D35" s="71" t="n"/>
    </row>
    <row r="36">
      <c r="A36" s="72" t="inlineStr">
        <is>
          <t>Drawdown &lt; 20%?</t>
        </is>
      </c>
      <c r="B36" s="83">
        <f>IF(B6=500000,"No trades yet",IF((B6-500000)/500000&gt;-0.2,"OK — DD "&amp;TEXT(MIN(0,(B6-500000)/500000)*-1,"0.0%"),"⚠ RED FLAG — SUSPEND TRADING"))</f>
        <v/>
      </c>
      <c r="C36" s="73" t="n"/>
      <c r="D36" s="73" t="n"/>
    </row>
    <row r="38" ht="30" customHeight="1">
      <c r="A38" s="85" t="inlineStr">
        <is>
          <t>VALIDATED BACKTEST BENCHMARKS (OOS, Policy C):  PF 1.349  |  CAGR +5.7%  |  Sharpe 0.507  |  MaxDD 13.8%  |  Win Rate 45.2%  |  Alpha +5.2%/yr vs Nifty</t>
        </is>
      </c>
      <c r="B38" s="121" t="n"/>
      <c r="C38" s="121" t="n"/>
      <c r="D38" s="51" t="n"/>
    </row>
  </sheetData>
  <mergeCells count="8">
    <mergeCell ref="A1:D1"/>
    <mergeCell ref="A27:D27"/>
    <mergeCell ref="A22:D22"/>
    <mergeCell ref="A12:D12"/>
    <mergeCell ref="A4:D4"/>
    <mergeCell ref="A38:D38"/>
    <mergeCell ref="A2:D2"/>
    <mergeCell ref="A33:D3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2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8" customWidth="1" min="3" max="3"/>
    <col width="10" customWidth="1" min="4" max="4"/>
    <col width="11" customWidth="1" min="5" max="5"/>
    <col width="11" customWidth="1" min="6" max="6"/>
    <col width="10" customWidth="1" min="7" max="7"/>
    <col width="11" customWidth="1" min="8" max="8"/>
    <col width="9" customWidth="1" min="9" max="9"/>
    <col width="9" customWidth="1" min="10" max="10"/>
  </cols>
  <sheetData>
    <row r="1" ht="28" customHeight="1">
      <c r="A1" s="22" t="inlineStr">
        <is>
          <t>SLIPPAGE TRACKER  —  Compare simulated vs actual fills</t>
        </is>
      </c>
    </row>
    <row r="2" ht="20" customHeight="1">
      <c r="A2" s="44" t="inlineStr">
        <is>
          <t>For each order placed, enter the previous close and actual fill price. Slippage auto-calculates. Target: average slippage &lt; 0.40%. Model assumption: 0.20%.</t>
        </is>
      </c>
    </row>
    <row r="3" ht="32" customHeight="1">
      <c r="A3" s="24" t="inlineStr">
        <is>
          <t>#</t>
        </is>
      </c>
      <c r="B3" s="24" t="inlineStr">
        <is>
          <t>Date</t>
        </is>
      </c>
      <c r="C3" s="24" t="inlineStr">
        <is>
          <t>Symbol</t>
        </is>
      </c>
      <c r="D3" s="24" t="inlineStr">
        <is>
          <t>Side</t>
        </is>
      </c>
      <c r="E3" s="24" t="inlineStr">
        <is>
          <t>Prev Close
(Rs)</t>
        </is>
      </c>
      <c r="F3" s="24" t="inlineStr">
        <is>
          <t>Actual Fill
(Rs)</t>
        </is>
      </c>
      <c r="G3" s="24" t="inlineStr">
        <is>
          <t>Qty</t>
        </is>
      </c>
      <c r="H3" s="24" t="inlineStr">
        <is>
          <t>Trade Value
(Rs)</t>
        </is>
      </c>
      <c r="I3" s="24" t="inlineStr">
        <is>
          <t>Slippage
%</t>
        </is>
      </c>
      <c r="J3" s="24" t="inlineStr">
        <is>
          <t>vs Model
(0.20%)</t>
        </is>
      </c>
    </row>
    <row r="4">
      <c r="A4" s="49">
        <f>IF(B4="","",ROW()-3)</f>
        <v/>
      </c>
      <c r="B4" s="122" t="n"/>
      <c r="C4" s="30" t="inlineStr"/>
      <c r="D4" s="30" t="inlineStr"/>
      <c r="E4" s="123" t="inlineStr"/>
      <c r="F4" s="123" t="inlineStr"/>
      <c r="G4" s="27" t="inlineStr"/>
      <c r="H4" s="118">
        <f>IF(OR(E4="",G4=""),"",E4*G4)</f>
        <v/>
      </c>
      <c r="I4" s="48">
        <f>IF(OR(E4="",F4=""),"",ABS(F4/E4-1))</f>
        <v/>
      </c>
      <c r="J4" s="48">
        <f>IF(I4="","",I4-0.002)</f>
        <v/>
      </c>
    </row>
    <row r="5">
      <c r="A5" s="54">
        <f>IF(B5="","",ROW()-3)</f>
        <v/>
      </c>
      <c r="B5" s="122" t="n"/>
      <c r="C5" s="30" t="inlineStr"/>
      <c r="D5" s="30" t="inlineStr"/>
      <c r="E5" s="123" t="inlineStr"/>
      <c r="F5" s="123" t="inlineStr"/>
      <c r="G5" s="27" t="inlineStr"/>
      <c r="H5" s="117">
        <f>IF(OR(E5="",G5=""),"",E5*G5)</f>
        <v/>
      </c>
      <c r="I5" s="55">
        <f>IF(OR(E5="",F5=""),"",ABS(F5/E5-1))</f>
        <v/>
      </c>
      <c r="J5" s="55">
        <f>IF(I5="","",I5-0.002)</f>
        <v/>
      </c>
    </row>
    <row r="6">
      <c r="A6" s="49">
        <f>IF(B6="","",ROW()-3)</f>
        <v/>
      </c>
      <c r="B6" s="122" t="n"/>
      <c r="C6" s="30" t="inlineStr"/>
      <c r="D6" s="30" t="inlineStr"/>
      <c r="E6" s="123" t="inlineStr"/>
      <c r="F6" s="123" t="inlineStr"/>
      <c r="G6" s="27" t="inlineStr"/>
      <c r="H6" s="118">
        <f>IF(OR(E6="",G6=""),"",E6*G6)</f>
        <v/>
      </c>
      <c r="I6" s="48">
        <f>IF(OR(E6="",F6=""),"",ABS(F6/E6-1))</f>
        <v/>
      </c>
      <c r="J6" s="48">
        <f>IF(I6="","",I6-0.002)</f>
        <v/>
      </c>
    </row>
    <row r="7">
      <c r="A7" s="54">
        <f>IF(B7="","",ROW()-3)</f>
        <v/>
      </c>
      <c r="B7" s="122" t="n"/>
      <c r="C7" s="30" t="inlineStr"/>
      <c r="D7" s="30" t="inlineStr"/>
      <c r="E7" s="123" t="inlineStr"/>
      <c r="F7" s="123" t="inlineStr"/>
      <c r="G7" s="27" t="inlineStr"/>
      <c r="H7" s="117">
        <f>IF(OR(E7="",G7=""),"",E7*G7)</f>
        <v/>
      </c>
      <c r="I7" s="55">
        <f>IF(OR(E7="",F7=""),"",ABS(F7/E7-1))</f>
        <v/>
      </c>
      <c r="J7" s="55">
        <f>IF(I7="","",I7-0.002)</f>
        <v/>
      </c>
    </row>
    <row r="8">
      <c r="A8" s="49">
        <f>IF(B8="","",ROW()-3)</f>
        <v/>
      </c>
      <c r="B8" s="122" t="n"/>
      <c r="C8" s="30" t="inlineStr"/>
      <c r="D8" s="30" t="inlineStr"/>
      <c r="E8" s="123" t="inlineStr"/>
      <c r="F8" s="123" t="inlineStr"/>
      <c r="G8" s="27" t="inlineStr"/>
      <c r="H8" s="118">
        <f>IF(OR(E8="",G8=""),"",E8*G8)</f>
        <v/>
      </c>
      <c r="I8" s="48">
        <f>IF(OR(E8="",F8=""),"",ABS(F8/E8-1))</f>
        <v/>
      </c>
      <c r="J8" s="48">
        <f>IF(I8="","",I8-0.002)</f>
        <v/>
      </c>
    </row>
    <row r="9">
      <c r="A9" s="54">
        <f>IF(B9="","",ROW()-3)</f>
        <v/>
      </c>
      <c r="B9" s="122" t="n"/>
      <c r="C9" s="30" t="inlineStr"/>
      <c r="D9" s="30" t="inlineStr"/>
      <c r="E9" s="123" t="inlineStr"/>
      <c r="F9" s="123" t="inlineStr"/>
      <c r="G9" s="27" t="inlineStr"/>
      <c r="H9" s="117">
        <f>IF(OR(E9="",G9=""),"",E9*G9)</f>
        <v/>
      </c>
      <c r="I9" s="55">
        <f>IF(OR(E9="",F9=""),"",ABS(F9/E9-1))</f>
        <v/>
      </c>
      <c r="J9" s="55">
        <f>IF(I9="","",I9-0.002)</f>
        <v/>
      </c>
    </row>
    <row r="10">
      <c r="A10" s="49">
        <f>IF(B10="","",ROW()-3)</f>
        <v/>
      </c>
      <c r="B10" s="122" t="n"/>
      <c r="C10" s="30" t="inlineStr"/>
      <c r="D10" s="30" t="inlineStr"/>
      <c r="E10" s="123" t="inlineStr"/>
      <c r="F10" s="123" t="inlineStr"/>
      <c r="G10" s="27" t="inlineStr"/>
      <c r="H10" s="118">
        <f>IF(OR(E10="",G10=""),"",E10*G10)</f>
        <v/>
      </c>
      <c r="I10" s="48">
        <f>IF(OR(E10="",F10=""),"",ABS(F10/E10-1))</f>
        <v/>
      </c>
      <c r="J10" s="48">
        <f>IF(I10="","",I10-0.002)</f>
        <v/>
      </c>
    </row>
    <row r="11">
      <c r="A11" s="54">
        <f>IF(B11="","",ROW()-3)</f>
        <v/>
      </c>
      <c r="B11" s="122" t="n"/>
      <c r="C11" s="30" t="inlineStr"/>
      <c r="D11" s="30" t="inlineStr"/>
      <c r="E11" s="123" t="inlineStr"/>
      <c r="F11" s="123" t="inlineStr"/>
      <c r="G11" s="27" t="inlineStr"/>
      <c r="H11" s="117">
        <f>IF(OR(E11="",G11=""),"",E11*G11)</f>
        <v/>
      </c>
      <c r="I11" s="55">
        <f>IF(OR(E11="",F11=""),"",ABS(F11/E11-1))</f>
        <v/>
      </c>
      <c r="J11" s="55">
        <f>IF(I11="","",I11-0.002)</f>
        <v/>
      </c>
    </row>
    <row r="12">
      <c r="A12" s="49">
        <f>IF(B12="","",ROW()-3)</f>
        <v/>
      </c>
      <c r="B12" s="122" t="n"/>
      <c r="C12" s="30" t="inlineStr"/>
      <c r="D12" s="30" t="inlineStr"/>
      <c r="E12" s="123" t="inlineStr"/>
      <c r="F12" s="123" t="inlineStr"/>
      <c r="G12" s="27" t="inlineStr"/>
      <c r="H12" s="118">
        <f>IF(OR(E12="",G12=""),"",E12*G12)</f>
        <v/>
      </c>
      <c r="I12" s="48">
        <f>IF(OR(E12="",F12=""),"",ABS(F12/E12-1))</f>
        <v/>
      </c>
      <c r="J12" s="48">
        <f>IF(I12="","",I12-0.002)</f>
        <v/>
      </c>
    </row>
    <row r="13">
      <c r="A13" s="54">
        <f>IF(B13="","",ROW()-3)</f>
        <v/>
      </c>
      <c r="B13" s="122" t="n"/>
      <c r="C13" s="30" t="inlineStr"/>
      <c r="D13" s="30" t="inlineStr"/>
      <c r="E13" s="123" t="inlineStr"/>
      <c r="F13" s="123" t="inlineStr"/>
      <c r="G13" s="27" t="inlineStr"/>
      <c r="H13" s="117">
        <f>IF(OR(E13="",G13=""),"",E13*G13)</f>
        <v/>
      </c>
      <c r="I13" s="55">
        <f>IF(OR(E13="",F13=""),"",ABS(F13/E13-1))</f>
        <v/>
      </c>
      <c r="J13" s="55">
        <f>IF(I13="","",I13-0.002)</f>
        <v/>
      </c>
    </row>
    <row r="14">
      <c r="A14" s="49">
        <f>IF(B14="","",ROW()-3)</f>
        <v/>
      </c>
      <c r="B14" s="122" t="n"/>
      <c r="C14" s="30" t="inlineStr"/>
      <c r="D14" s="30" t="inlineStr"/>
      <c r="E14" s="123" t="inlineStr"/>
      <c r="F14" s="123" t="inlineStr"/>
      <c r="G14" s="27" t="inlineStr"/>
      <c r="H14" s="118">
        <f>IF(OR(E14="",G14=""),"",E14*G14)</f>
        <v/>
      </c>
      <c r="I14" s="48">
        <f>IF(OR(E14="",F14=""),"",ABS(F14/E14-1))</f>
        <v/>
      </c>
      <c r="J14" s="48">
        <f>IF(I14="","",I14-0.002)</f>
        <v/>
      </c>
    </row>
    <row r="15">
      <c r="A15" s="54">
        <f>IF(B15="","",ROW()-3)</f>
        <v/>
      </c>
      <c r="B15" s="122" t="n"/>
      <c r="C15" s="30" t="inlineStr"/>
      <c r="D15" s="30" t="inlineStr"/>
      <c r="E15" s="123" t="inlineStr"/>
      <c r="F15" s="123" t="inlineStr"/>
      <c r="G15" s="27" t="inlineStr"/>
      <c r="H15" s="117">
        <f>IF(OR(E15="",G15=""),"",E15*G15)</f>
        <v/>
      </c>
      <c r="I15" s="55">
        <f>IF(OR(E15="",F15=""),"",ABS(F15/E15-1))</f>
        <v/>
      </c>
      <c r="J15" s="55">
        <f>IF(I15="","",I15-0.002)</f>
        <v/>
      </c>
    </row>
    <row r="16">
      <c r="A16" s="49">
        <f>IF(B16="","",ROW()-3)</f>
        <v/>
      </c>
      <c r="B16" s="122" t="n"/>
      <c r="C16" s="30" t="inlineStr"/>
      <c r="D16" s="30" t="inlineStr"/>
      <c r="E16" s="123" t="inlineStr"/>
      <c r="F16" s="123" t="inlineStr"/>
      <c r="G16" s="27" t="inlineStr"/>
      <c r="H16" s="118">
        <f>IF(OR(E16="",G16=""),"",E16*G16)</f>
        <v/>
      </c>
      <c r="I16" s="48">
        <f>IF(OR(E16="",F16=""),"",ABS(F16/E16-1))</f>
        <v/>
      </c>
      <c r="J16" s="48">
        <f>IF(I16="","",I16-0.002)</f>
        <v/>
      </c>
    </row>
    <row r="17">
      <c r="A17" s="54">
        <f>IF(B17="","",ROW()-3)</f>
        <v/>
      </c>
      <c r="B17" s="122" t="n"/>
      <c r="C17" s="30" t="inlineStr"/>
      <c r="D17" s="30" t="inlineStr"/>
      <c r="E17" s="123" t="inlineStr"/>
      <c r="F17" s="123" t="inlineStr"/>
      <c r="G17" s="27" t="inlineStr"/>
      <c r="H17" s="117">
        <f>IF(OR(E17="",G17=""),"",E17*G17)</f>
        <v/>
      </c>
      <c r="I17" s="55">
        <f>IF(OR(E17="",F17=""),"",ABS(F17/E17-1))</f>
        <v/>
      </c>
      <c r="J17" s="55">
        <f>IF(I17="","",I17-0.002)</f>
        <v/>
      </c>
    </row>
    <row r="18">
      <c r="A18" s="49">
        <f>IF(B18="","",ROW()-3)</f>
        <v/>
      </c>
      <c r="B18" s="122" t="n"/>
      <c r="C18" s="30" t="inlineStr"/>
      <c r="D18" s="30" t="inlineStr"/>
      <c r="E18" s="123" t="inlineStr"/>
      <c r="F18" s="123" t="inlineStr"/>
      <c r="G18" s="27" t="inlineStr"/>
      <c r="H18" s="118">
        <f>IF(OR(E18="",G18=""),"",E18*G18)</f>
        <v/>
      </c>
      <c r="I18" s="48">
        <f>IF(OR(E18="",F18=""),"",ABS(F18/E18-1))</f>
        <v/>
      </c>
      <c r="J18" s="48">
        <f>IF(I18="","",I18-0.002)</f>
        <v/>
      </c>
    </row>
    <row r="19">
      <c r="A19" s="54">
        <f>IF(B19="","",ROW()-3)</f>
        <v/>
      </c>
      <c r="B19" s="122" t="n"/>
      <c r="C19" s="30" t="inlineStr"/>
      <c r="D19" s="30" t="inlineStr"/>
      <c r="E19" s="123" t="inlineStr"/>
      <c r="F19" s="123" t="inlineStr"/>
      <c r="G19" s="27" t="inlineStr"/>
      <c r="H19" s="117">
        <f>IF(OR(E19="",G19=""),"",E19*G19)</f>
        <v/>
      </c>
      <c r="I19" s="55">
        <f>IF(OR(E19="",F19=""),"",ABS(F19/E19-1))</f>
        <v/>
      </c>
      <c r="J19" s="55">
        <f>IF(I19="","",I19-0.002)</f>
        <v/>
      </c>
    </row>
    <row r="20">
      <c r="A20" s="49">
        <f>IF(B20="","",ROW()-3)</f>
        <v/>
      </c>
      <c r="B20" s="122" t="n"/>
      <c r="C20" s="30" t="inlineStr"/>
      <c r="D20" s="30" t="inlineStr"/>
      <c r="E20" s="123" t="inlineStr"/>
      <c r="F20" s="123" t="inlineStr"/>
      <c r="G20" s="27" t="inlineStr"/>
      <c r="H20" s="118">
        <f>IF(OR(E20="",G20=""),"",E20*G20)</f>
        <v/>
      </c>
      <c r="I20" s="48">
        <f>IF(OR(E20="",F20=""),"",ABS(F20/E20-1))</f>
        <v/>
      </c>
      <c r="J20" s="48">
        <f>IF(I20="","",I20-0.002)</f>
        <v/>
      </c>
    </row>
    <row r="21">
      <c r="A21" s="54">
        <f>IF(B21="","",ROW()-3)</f>
        <v/>
      </c>
      <c r="B21" s="122" t="n"/>
      <c r="C21" s="30" t="inlineStr"/>
      <c r="D21" s="30" t="inlineStr"/>
      <c r="E21" s="123" t="inlineStr"/>
      <c r="F21" s="123" t="inlineStr"/>
      <c r="G21" s="27" t="inlineStr"/>
      <c r="H21" s="117">
        <f>IF(OR(E21="",G21=""),"",E21*G21)</f>
        <v/>
      </c>
      <c r="I21" s="55">
        <f>IF(OR(E21="",F21=""),"",ABS(F21/E21-1))</f>
        <v/>
      </c>
      <c r="J21" s="55">
        <f>IF(I21="","",I21-0.002)</f>
        <v/>
      </c>
    </row>
    <row r="22">
      <c r="A22" s="49">
        <f>IF(B22="","",ROW()-3)</f>
        <v/>
      </c>
      <c r="B22" s="122" t="n"/>
      <c r="C22" s="30" t="inlineStr"/>
      <c r="D22" s="30" t="inlineStr"/>
      <c r="E22" s="123" t="inlineStr"/>
      <c r="F22" s="123" t="inlineStr"/>
      <c r="G22" s="27" t="inlineStr"/>
      <c r="H22" s="118">
        <f>IF(OR(E22="",G22=""),"",E22*G22)</f>
        <v/>
      </c>
      <c r="I22" s="48">
        <f>IF(OR(E22="",F22=""),"",ABS(F22/E22-1))</f>
        <v/>
      </c>
      <c r="J22" s="48">
        <f>IF(I22="","",I22-0.002)</f>
        <v/>
      </c>
    </row>
    <row r="23">
      <c r="A23" s="54">
        <f>IF(B23="","",ROW()-3)</f>
        <v/>
      </c>
      <c r="B23" s="122" t="n"/>
      <c r="C23" s="30" t="inlineStr"/>
      <c r="D23" s="30" t="inlineStr"/>
      <c r="E23" s="123" t="inlineStr"/>
      <c r="F23" s="123" t="inlineStr"/>
      <c r="G23" s="27" t="inlineStr"/>
      <c r="H23" s="117">
        <f>IF(OR(E23="",G23=""),"",E23*G23)</f>
        <v/>
      </c>
      <c r="I23" s="55">
        <f>IF(OR(E23="",F23=""),"",ABS(F23/E23-1))</f>
        <v/>
      </c>
      <c r="J23" s="55">
        <f>IF(I23="","",I23-0.002)</f>
        <v/>
      </c>
    </row>
    <row r="24">
      <c r="A24" s="49">
        <f>IF(B24="","",ROW()-3)</f>
        <v/>
      </c>
      <c r="B24" s="122" t="n"/>
      <c r="C24" s="30" t="inlineStr"/>
      <c r="D24" s="30" t="inlineStr"/>
      <c r="E24" s="123" t="inlineStr"/>
      <c r="F24" s="123" t="inlineStr"/>
      <c r="G24" s="27" t="inlineStr"/>
      <c r="H24" s="118">
        <f>IF(OR(E24="",G24=""),"",E24*G24)</f>
        <v/>
      </c>
      <c r="I24" s="48">
        <f>IF(OR(E24="",F24=""),"",ABS(F24/E24-1))</f>
        <v/>
      </c>
      <c r="J24" s="48">
        <f>IF(I24="","",I24-0.002)</f>
        <v/>
      </c>
    </row>
    <row r="25">
      <c r="A25" s="54">
        <f>IF(B25="","",ROW()-3)</f>
        <v/>
      </c>
      <c r="B25" s="122" t="n"/>
      <c r="C25" s="30" t="inlineStr"/>
      <c r="D25" s="30" t="inlineStr"/>
      <c r="E25" s="123" t="inlineStr"/>
      <c r="F25" s="123" t="inlineStr"/>
      <c r="G25" s="27" t="inlineStr"/>
      <c r="H25" s="117">
        <f>IF(OR(E25="",G25=""),"",E25*G25)</f>
        <v/>
      </c>
      <c r="I25" s="55">
        <f>IF(OR(E25="",F25=""),"",ABS(F25/E25-1))</f>
        <v/>
      </c>
      <c r="J25" s="55">
        <f>IF(I25="","",I25-0.002)</f>
        <v/>
      </c>
    </row>
    <row r="26">
      <c r="A26" s="49">
        <f>IF(B26="","",ROW()-3)</f>
        <v/>
      </c>
      <c r="B26" s="122" t="n"/>
      <c r="C26" s="30" t="inlineStr"/>
      <c r="D26" s="30" t="inlineStr"/>
      <c r="E26" s="123" t="inlineStr"/>
      <c r="F26" s="123" t="inlineStr"/>
      <c r="G26" s="27" t="inlineStr"/>
      <c r="H26" s="118">
        <f>IF(OR(E26="",G26=""),"",E26*G26)</f>
        <v/>
      </c>
      <c r="I26" s="48">
        <f>IF(OR(E26="",F26=""),"",ABS(F26/E26-1))</f>
        <v/>
      </c>
      <c r="J26" s="48">
        <f>IF(I26="","",I26-0.002)</f>
        <v/>
      </c>
    </row>
    <row r="27">
      <c r="A27" s="54">
        <f>IF(B27="","",ROW()-3)</f>
        <v/>
      </c>
      <c r="B27" s="122" t="n"/>
      <c r="C27" s="30" t="inlineStr"/>
      <c r="D27" s="30" t="inlineStr"/>
      <c r="E27" s="123" t="inlineStr"/>
      <c r="F27" s="123" t="inlineStr"/>
      <c r="G27" s="27" t="inlineStr"/>
      <c r="H27" s="117">
        <f>IF(OR(E27="",G27=""),"",E27*G27)</f>
        <v/>
      </c>
      <c r="I27" s="55">
        <f>IF(OR(E27="",F27=""),"",ABS(F27/E27-1))</f>
        <v/>
      </c>
      <c r="J27" s="55">
        <f>IF(I27="","",I27-0.002)</f>
        <v/>
      </c>
    </row>
    <row r="28">
      <c r="A28" s="49">
        <f>IF(B28="","",ROW()-3)</f>
        <v/>
      </c>
      <c r="B28" s="122" t="n"/>
      <c r="C28" s="30" t="inlineStr"/>
      <c r="D28" s="30" t="inlineStr"/>
      <c r="E28" s="123" t="inlineStr"/>
      <c r="F28" s="123" t="inlineStr"/>
      <c r="G28" s="27" t="inlineStr"/>
      <c r="H28" s="118">
        <f>IF(OR(E28="",G28=""),"",E28*G28)</f>
        <v/>
      </c>
      <c r="I28" s="48">
        <f>IF(OR(E28="",F28=""),"",ABS(F28/E28-1))</f>
        <v/>
      </c>
      <c r="J28" s="48">
        <f>IF(I28="","",I28-0.002)</f>
        <v/>
      </c>
    </row>
    <row r="29">
      <c r="A29" s="54">
        <f>IF(B29="","",ROW()-3)</f>
        <v/>
      </c>
      <c r="B29" s="122" t="n"/>
      <c r="C29" s="30" t="inlineStr"/>
      <c r="D29" s="30" t="inlineStr"/>
      <c r="E29" s="123" t="inlineStr"/>
      <c r="F29" s="123" t="inlineStr"/>
      <c r="G29" s="27" t="inlineStr"/>
      <c r="H29" s="117">
        <f>IF(OR(E29="",G29=""),"",E29*G29)</f>
        <v/>
      </c>
      <c r="I29" s="55">
        <f>IF(OR(E29="",F29=""),"",ABS(F29/E29-1))</f>
        <v/>
      </c>
      <c r="J29" s="55">
        <f>IF(I29="","",I29-0.002)</f>
        <v/>
      </c>
    </row>
    <row r="30">
      <c r="A30" s="49">
        <f>IF(B30="","",ROW()-3)</f>
        <v/>
      </c>
      <c r="B30" s="122" t="n"/>
      <c r="C30" s="30" t="inlineStr"/>
      <c r="D30" s="30" t="inlineStr"/>
      <c r="E30" s="123" t="inlineStr"/>
      <c r="F30" s="123" t="inlineStr"/>
      <c r="G30" s="27" t="inlineStr"/>
      <c r="H30" s="118">
        <f>IF(OR(E30="",G30=""),"",E30*G30)</f>
        <v/>
      </c>
      <c r="I30" s="48">
        <f>IF(OR(E30="",F30=""),"",ABS(F30/E30-1))</f>
        <v/>
      </c>
      <c r="J30" s="48">
        <f>IF(I30="","",I30-0.002)</f>
        <v/>
      </c>
    </row>
    <row r="31">
      <c r="A31" s="54">
        <f>IF(B31="","",ROW()-3)</f>
        <v/>
      </c>
      <c r="B31" s="122" t="n"/>
      <c r="C31" s="30" t="inlineStr"/>
      <c r="D31" s="30" t="inlineStr"/>
      <c r="E31" s="123" t="inlineStr"/>
      <c r="F31" s="123" t="inlineStr"/>
      <c r="G31" s="27" t="inlineStr"/>
      <c r="H31" s="117">
        <f>IF(OR(E31="",G31=""),"",E31*G31)</f>
        <v/>
      </c>
      <c r="I31" s="55">
        <f>IF(OR(E31="",F31=""),"",ABS(F31/E31-1))</f>
        <v/>
      </c>
      <c r="J31" s="55">
        <f>IF(I31="","",I31-0.002)</f>
        <v/>
      </c>
    </row>
    <row r="32">
      <c r="A32" s="49">
        <f>IF(B32="","",ROW()-3)</f>
        <v/>
      </c>
      <c r="B32" s="122" t="n"/>
      <c r="C32" s="30" t="inlineStr"/>
      <c r="D32" s="30" t="inlineStr"/>
      <c r="E32" s="123" t="inlineStr"/>
      <c r="F32" s="123" t="inlineStr"/>
      <c r="G32" s="27" t="inlineStr"/>
      <c r="H32" s="118">
        <f>IF(OR(E32="",G32=""),"",E32*G32)</f>
        <v/>
      </c>
      <c r="I32" s="48">
        <f>IF(OR(E32="",F32=""),"",ABS(F32/E32-1))</f>
        <v/>
      </c>
      <c r="J32" s="48">
        <f>IF(I32="","",I32-0.002)</f>
        <v/>
      </c>
    </row>
    <row r="33">
      <c r="A33" s="54">
        <f>IF(B33="","",ROW()-3)</f>
        <v/>
      </c>
      <c r="B33" s="122" t="n"/>
      <c r="C33" s="30" t="inlineStr"/>
      <c r="D33" s="30" t="inlineStr"/>
      <c r="E33" s="123" t="inlineStr"/>
      <c r="F33" s="123" t="inlineStr"/>
      <c r="G33" s="27" t="inlineStr"/>
      <c r="H33" s="117">
        <f>IF(OR(E33="",G33=""),"",E33*G33)</f>
        <v/>
      </c>
      <c r="I33" s="55">
        <f>IF(OR(E33="",F33=""),"",ABS(F33/E33-1))</f>
        <v/>
      </c>
      <c r="J33" s="55">
        <f>IF(I33="","",I33-0.002)</f>
        <v/>
      </c>
    </row>
    <row r="34">
      <c r="A34" s="49">
        <f>IF(B34="","",ROW()-3)</f>
        <v/>
      </c>
      <c r="B34" s="122" t="n"/>
      <c r="C34" s="30" t="inlineStr"/>
      <c r="D34" s="30" t="inlineStr"/>
      <c r="E34" s="123" t="inlineStr"/>
      <c r="F34" s="123" t="inlineStr"/>
      <c r="G34" s="27" t="inlineStr"/>
      <c r="H34" s="118">
        <f>IF(OR(E34="",G34=""),"",E34*G34)</f>
        <v/>
      </c>
      <c r="I34" s="48">
        <f>IF(OR(E34="",F34=""),"",ABS(F34/E34-1))</f>
        <v/>
      </c>
      <c r="J34" s="48">
        <f>IF(I34="","",I34-0.002)</f>
        <v/>
      </c>
    </row>
    <row r="35">
      <c r="A35" s="54">
        <f>IF(B35="","",ROW()-3)</f>
        <v/>
      </c>
      <c r="B35" s="122" t="n"/>
      <c r="C35" s="30" t="inlineStr"/>
      <c r="D35" s="30" t="inlineStr"/>
      <c r="E35" s="123" t="inlineStr"/>
      <c r="F35" s="123" t="inlineStr"/>
      <c r="G35" s="27" t="inlineStr"/>
      <c r="H35" s="117">
        <f>IF(OR(E35="",G35=""),"",E35*G35)</f>
        <v/>
      </c>
      <c r="I35" s="55">
        <f>IF(OR(E35="",F35=""),"",ABS(F35/E35-1))</f>
        <v/>
      </c>
      <c r="J35" s="55">
        <f>IF(I35="","",I35-0.002)</f>
        <v/>
      </c>
    </row>
    <row r="36">
      <c r="A36" s="49">
        <f>IF(B36="","",ROW()-3)</f>
        <v/>
      </c>
      <c r="B36" s="122" t="n"/>
      <c r="C36" s="30" t="inlineStr"/>
      <c r="D36" s="30" t="inlineStr"/>
      <c r="E36" s="123" t="inlineStr"/>
      <c r="F36" s="123" t="inlineStr"/>
      <c r="G36" s="27" t="inlineStr"/>
      <c r="H36" s="118">
        <f>IF(OR(E36="",G36=""),"",E36*G36)</f>
        <v/>
      </c>
      <c r="I36" s="48">
        <f>IF(OR(E36="",F36=""),"",ABS(F36/E36-1))</f>
        <v/>
      </c>
      <c r="J36" s="48">
        <f>IF(I36="","",I36-0.002)</f>
        <v/>
      </c>
    </row>
    <row r="37">
      <c r="A37" s="54">
        <f>IF(B37="","",ROW()-3)</f>
        <v/>
      </c>
      <c r="B37" s="122" t="n"/>
      <c r="C37" s="30" t="inlineStr"/>
      <c r="D37" s="30" t="inlineStr"/>
      <c r="E37" s="123" t="inlineStr"/>
      <c r="F37" s="123" t="inlineStr"/>
      <c r="G37" s="27" t="inlineStr"/>
      <c r="H37" s="117">
        <f>IF(OR(E37="",G37=""),"",E37*G37)</f>
        <v/>
      </c>
      <c r="I37" s="55">
        <f>IF(OR(E37="",F37=""),"",ABS(F37/E37-1))</f>
        <v/>
      </c>
      <c r="J37" s="55">
        <f>IF(I37="","",I37-0.002)</f>
        <v/>
      </c>
    </row>
    <row r="38">
      <c r="A38" s="49">
        <f>IF(B38="","",ROW()-3)</f>
        <v/>
      </c>
      <c r="B38" s="122" t="n"/>
      <c r="C38" s="30" t="inlineStr"/>
      <c r="D38" s="30" t="inlineStr"/>
      <c r="E38" s="123" t="inlineStr"/>
      <c r="F38" s="123" t="inlineStr"/>
      <c r="G38" s="27" t="inlineStr"/>
      <c r="H38" s="118">
        <f>IF(OR(E38="",G38=""),"",E38*G38)</f>
        <v/>
      </c>
      <c r="I38" s="48">
        <f>IF(OR(E38="",F38=""),"",ABS(F38/E38-1))</f>
        <v/>
      </c>
      <c r="J38" s="48">
        <f>IF(I38="","",I38-0.002)</f>
        <v/>
      </c>
    </row>
    <row r="39">
      <c r="A39" s="54">
        <f>IF(B39="","",ROW()-3)</f>
        <v/>
      </c>
      <c r="B39" s="122" t="n"/>
      <c r="C39" s="30" t="inlineStr"/>
      <c r="D39" s="30" t="inlineStr"/>
      <c r="E39" s="123" t="inlineStr"/>
      <c r="F39" s="123" t="inlineStr"/>
      <c r="G39" s="27" t="inlineStr"/>
      <c r="H39" s="117">
        <f>IF(OR(E39="",G39=""),"",E39*G39)</f>
        <v/>
      </c>
      <c r="I39" s="55">
        <f>IF(OR(E39="",F39=""),"",ABS(F39/E39-1))</f>
        <v/>
      </c>
      <c r="J39" s="55">
        <f>IF(I39="","",I39-0.002)</f>
        <v/>
      </c>
    </row>
    <row r="40">
      <c r="A40" s="49">
        <f>IF(B40="","",ROW()-3)</f>
        <v/>
      </c>
      <c r="B40" s="122" t="n"/>
      <c r="C40" s="30" t="inlineStr"/>
      <c r="D40" s="30" t="inlineStr"/>
      <c r="E40" s="123" t="inlineStr"/>
      <c r="F40" s="123" t="inlineStr"/>
      <c r="G40" s="27" t="inlineStr"/>
      <c r="H40" s="118">
        <f>IF(OR(E40="",G40=""),"",E40*G40)</f>
        <v/>
      </c>
      <c r="I40" s="48">
        <f>IF(OR(E40="",F40=""),"",ABS(F40/E40-1))</f>
        <v/>
      </c>
      <c r="J40" s="48">
        <f>IF(I40="","",I40-0.002)</f>
        <v/>
      </c>
    </row>
    <row r="41">
      <c r="A41" s="54">
        <f>IF(B41="","",ROW()-3)</f>
        <v/>
      </c>
      <c r="B41" s="122" t="n"/>
      <c r="C41" s="30" t="inlineStr"/>
      <c r="D41" s="30" t="inlineStr"/>
      <c r="E41" s="123" t="inlineStr"/>
      <c r="F41" s="123" t="inlineStr"/>
      <c r="G41" s="27" t="inlineStr"/>
      <c r="H41" s="117">
        <f>IF(OR(E41="",G41=""),"",E41*G41)</f>
        <v/>
      </c>
      <c r="I41" s="55">
        <f>IF(OR(E41="",F41=""),"",ABS(F41/E41-1))</f>
        <v/>
      </c>
      <c r="J41" s="55">
        <f>IF(I41="","",I41-0.002)</f>
        <v/>
      </c>
    </row>
    <row r="42">
      <c r="A42" s="49">
        <f>IF(B42="","",ROW()-3)</f>
        <v/>
      </c>
      <c r="B42" s="122" t="n"/>
      <c r="C42" s="30" t="inlineStr"/>
      <c r="D42" s="30" t="inlineStr"/>
      <c r="E42" s="123" t="inlineStr"/>
      <c r="F42" s="123" t="inlineStr"/>
      <c r="G42" s="27" t="inlineStr"/>
      <c r="H42" s="118">
        <f>IF(OR(E42="",G42=""),"",E42*G42)</f>
        <v/>
      </c>
      <c r="I42" s="48">
        <f>IF(OR(E42="",F42=""),"",ABS(F42/E42-1))</f>
        <v/>
      </c>
      <c r="J42" s="48">
        <f>IF(I42="","",I42-0.002)</f>
        <v/>
      </c>
    </row>
    <row r="43">
      <c r="A43" s="54">
        <f>IF(B43="","",ROW()-3)</f>
        <v/>
      </c>
      <c r="B43" s="122" t="n"/>
      <c r="C43" s="30" t="inlineStr"/>
      <c r="D43" s="30" t="inlineStr"/>
      <c r="E43" s="123" t="inlineStr"/>
      <c r="F43" s="123" t="inlineStr"/>
      <c r="G43" s="27" t="inlineStr"/>
      <c r="H43" s="117">
        <f>IF(OR(E43="",G43=""),"",E43*G43)</f>
        <v/>
      </c>
      <c r="I43" s="55">
        <f>IF(OR(E43="",F43=""),"",ABS(F43/E43-1))</f>
        <v/>
      </c>
      <c r="J43" s="55">
        <f>IF(I43="","",I43-0.002)</f>
        <v/>
      </c>
    </row>
    <row r="45">
      <c r="A45" s="42" t="inlineStr">
        <is>
          <t>SLIPPAGE SUMMARY</t>
        </is>
      </c>
      <c r="B45" s="121" t="n"/>
      <c r="C45" s="121" t="n"/>
      <c r="D45" s="121" t="n"/>
      <c r="E45" s="121" t="n"/>
      <c r="F45" s="121" t="n"/>
      <c r="G45" s="121" t="n"/>
      <c r="H45" s="121" t="n"/>
      <c r="I45" s="121" t="n"/>
      <c r="J45" s="51" t="n"/>
    </row>
    <row r="46">
      <c r="A46" s="50" t="inlineStr">
        <is>
          <t>Total orders tracked</t>
        </is>
      </c>
      <c r="B46" s="51" t="n"/>
      <c r="C46" s="56">
        <f>COUNTA(B4:B43)</f>
        <v/>
      </c>
      <c r="D46" s="86" t="n"/>
      <c r="E46" s="86" t="n"/>
      <c r="F46" s="86" t="n"/>
      <c r="G46" s="86" t="n"/>
      <c r="H46" s="86" t="n"/>
      <c r="I46" s="86" t="n"/>
      <c r="J46" s="86" t="n"/>
    </row>
    <row r="47">
      <c r="A47" s="57" t="inlineStr">
        <is>
          <t>Average actual slippage %</t>
        </is>
      </c>
      <c r="B47" s="51" t="n"/>
      <c r="C47" s="48">
        <f>IFERROR(AVERAGE(I4:I43),"")</f>
        <v/>
      </c>
      <c r="D47" s="71" t="n"/>
      <c r="E47" s="71" t="n"/>
      <c r="F47" s="71" t="n"/>
      <c r="G47" s="71" t="n"/>
      <c r="H47" s="71" t="n"/>
      <c r="I47" s="71" t="n"/>
      <c r="J47" s="71" t="n"/>
    </row>
    <row r="48">
      <c r="A48" s="50" t="inlineStr">
        <is>
          <t>Maximum slippage % (single order)</t>
        </is>
      </c>
      <c r="B48" s="51" t="n"/>
      <c r="C48" s="61">
        <f>IFERROR(MAX(I4:I43),"")</f>
        <v/>
      </c>
      <c r="D48" s="86" t="n"/>
      <c r="E48" s="86" t="n"/>
      <c r="F48" s="86" t="n"/>
      <c r="G48" s="86" t="n"/>
      <c r="H48" s="86" t="n"/>
      <c r="I48" s="86" t="n"/>
      <c r="J48" s="86" t="n"/>
    </row>
    <row r="49">
      <c r="A49" s="57" t="inlineStr">
        <is>
          <t>Orders with slippage &gt; 0.40%</t>
        </is>
      </c>
      <c r="B49" s="51" t="n"/>
      <c r="C49" s="52">
        <f>COUNTIF(I4:I43,"&gt;"&amp;0.004)</f>
        <v/>
      </c>
      <c r="D49" s="71" t="n"/>
      <c r="E49" s="71" t="n"/>
      <c r="F49" s="71" t="n"/>
      <c r="G49" s="71" t="n"/>
      <c r="H49" s="71" t="n"/>
      <c r="I49" s="71" t="n"/>
      <c r="J49" s="71" t="n"/>
    </row>
    <row r="50">
      <c r="A50" s="50" t="inlineStr">
        <is>
          <t>Model assumption</t>
        </is>
      </c>
      <c r="B50" s="51" t="n"/>
      <c r="C50" s="87" t="n">
        <v>0.002</v>
      </c>
      <c r="D50" s="86" t="n"/>
      <c r="E50" s="86" t="n"/>
      <c r="F50" s="86" t="n"/>
      <c r="G50" s="86" t="n"/>
      <c r="H50" s="86" t="n"/>
      <c r="I50" s="86" t="n"/>
      <c r="J50" s="86" t="n"/>
    </row>
    <row r="51">
      <c r="A51" s="57" t="inlineStr">
        <is>
          <t>Average excess over model</t>
        </is>
      </c>
      <c r="B51" s="51" t="n"/>
      <c r="C51" s="48">
        <f>IFERROR(AVERAGE(J4:J43),"")</f>
        <v/>
      </c>
      <c r="D51" s="71" t="n"/>
      <c r="E51" s="71" t="n"/>
      <c r="F51" s="71" t="n"/>
      <c r="G51" s="71" t="n"/>
      <c r="H51" s="71" t="n"/>
      <c r="I51" s="71" t="n"/>
      <c r="J51" s="71" t="n"/>
    </row>
    <row r="52">
      <c r="A52" s="50" t="inlineStr">
        <is>
          <t>STATUS</t>
        </is>
      </c>
      <c r="B52" s="51" t="n"/>
      <c r="C52" s="88">
        <f>IF(B47="","Awaiting data",IF(B47&lt;=0.004,"OK — avg slippage within model","⚠ REVIEW — avg slippage exceeds model"))</f>
        <v/>
      </c>
      <c r="D52" s="86" t="n"/>
      <c r="E52" s="86" t="n"/>
      <c r="F52" s="86" t="n"/>
      <c r="G52" s="86" t="n"/>
      <c r="H52" s="86" t="n"/>
      <c r="I52" s="86" t="n"/>
      <c r="J52" s="86" t="n"/>
    </row>
  </sheetData>
  <mergeCells count="10">
    <mergeCell ref="A48:B48"/>
    <mergeCell ref="A1:J1"/>
    <mergeCell ref="A45:J45"/>
    <mergeCell ref="A52:B52"/>
    <mergeCell ref="A49:B49"/>
    <mergeCell ref="A51:B51"/>
    <mergeCell ref="A47:B47"/>
    <mergeCell ref="A46:B46"/>
    <mergeCell ref="A2:J2"/>
    <mergeCell ref="A50:B50"/>
  </mergeCells>
  <dataValidations count="40">
    <dataValidation sqref="D4" showDropDown="0" showInputMessage="0" showErrorMessage="0" allowBlank="1" type="list">
      <formula1>"BUY,SELL"</formula1>
    </dataValidation>
    <dataValidation sqref="D5" showDropDown="0" showInputMessage="0" showErrorMessage="0" allowBlank="1" type="list">
      <formula1>"BUY,SELL"</formula1>
    </dataValidation>
    <dataValidation sqref="D6" showDropDown="0" showInputMessage="0" showErrorMessage="0" allowBlank="1" type="list">
      <formula1>"BUY,SELL"</formula1>
    </dataValidation>
    <dataValidation sqref="D7" showDropDown="0" showInputMessage="0" showErrorMessage="0" allowBlank="1" type="list">
      <formula1>"BUY,SELL"</formula1>
    </dataValidation>
    <dataValidation sqref="D8" showDropDown="0" showInputMessage="0" showErrorMessage="0" allowBlank="1" type="list">
      <formula1>"BUY,SELL"</formula1>
    </dataValidation>
    <dataValidation sqref="D9" showDropDown="0" showInputMessage="0" showErrorMessage="0" allowBlank="1" type="list">
      <formula1>"BUY,SELL"</formula1>
    </dataValidation>
    <dataValidation sqref="D10" showDropDown="0" showInputMessage="0" showErrorMessage="0" allowBlank="1" type="list">
      <formula1>"BUY,SELL"</formula1>
    </dataValidation>
    <dataValidation sqref="D11" showDropDown="0" showInputMessage="0" showErrorMessage="0" allowBlank="1" type="list">
      <formula1>"BUY,SELL"</formula1>
    </dataValidation>
    <dataValidation sqref="D12" showDropDown="0" showInputMessage="0" showErrorMessage="0" allowBlank="1" type="list">
      <formula1>"BUY,SELL"</formula1>
    </dataValidation>
    <dataValidation sqref="D13" showDropDown="0" showInputMessage="0" showErrorMessage="0" allowBlank="1" type="list">
      <formula1>"BUY,SELL"</formula1>
    </dataValidation>
    <dataValidation sqref="D14" showDropDown="0" showInputMessage="0" showErrorMessage="0" allowBlank="1" type="list">
      <formula1>"BUY,SELL"</formula1>
    </dataValidation>
    <dataValidation sqref="D15" showDropDown="0" showInputMessage="0" showErrorMessage="0" allowBlank="1" type="list">
      <formula1>"BUY,SELL"</formula1>
    </dataValidation>
    <dataValidation sqref="D16" showDropDown="0" showInputMessage="0" showErrorMessage="0" allowBlank="1" type="list">
      <formula1>"BUY,SELL"</formula1>
    </dataValidation>
    <dataValidation sqref="D17" showDropDown="0" showInputMessage="0" showErrorMessage="0" allowBlank="1" type="list">
      <formula1>"BUY,SELL"</formula1>
    </dataValidation>
    <dataValidation sqref="D18" showDropDown="0" showInputMessage="0" showErrorMessage="0" allowBlank="1" type="list">
      <formula1>"BUY,SELL"</formula1>
    </dataValidation>
    <dataValidation sqref="D19" showDropDown="0" showInputMessage="0" showErrorMessage="0" allowBlank="1" type="list">
      <formula1>"BUY,SELL"</formula1>
    </dataValidation>
    <dataValidation sqref="D20" showDropDown="0" showInputMessage="0" showErrorMessage="0" allowBlank="1" type="list">
      <formula1>"BUY,SELL"</formula1>
    </dataValidation>
    <dataValidation sqref="D21" showDropDown="0" showInputMessage="0" showErrorMessage="0" allowBlank="1" type="list">
      <formula1>"BUY,SELL"</formula1>
    </dataValidation>
    <dataValidation sqref="D22" showDropDown="0" showInputMessage="0" showErrorMessage="0" allowBlank="1" type="list">
      <formula1>"BUY,SELL"</formula1>
    </dataValidation>
    <dataValidation sqref="D23" showDropDown="0" showInputMessage="0" showErrorMessage="0" allowBlank="1" type="list">
      <formula1>"BUY,SELL"</formula1>
    </dataValidation>
    <dataValidation sqref="D24" showDropDown="0" showInputMessage="0" showErrorMessage="0" allowBlank="1" type="list">
      <formula1>"BUY,SELL"</formula1>
    </dataValidation>
    <dataValidation sqref="D25" showDropDown="0" showInputMessage="0" showErrorMessage="0" allowBlank="1" type="list">
      <formula1>"BUY,SELL"</formula1>
    </dataValidation>
    <dataValidation sqref="D26" showDropDown="0" showInputMessage="0" showErrorMessage="0" allowBlank="1" type="list">
      <formula1>"BUY,SELL"</formula1>
    </dataValidation>
    <dataValidation sqref="D27" showDropDown="0" showInputMessage="0" showErrorMessage="0" allowBlank="1" type="list">
      <formula1>"BUY,SELL"</formula1>
    </dataValidation>
    <dataValidation sqref="D28" showDropDown="0" showInputMessage="0" showErrorMessage="0" allowBlank="1" type="list">
      <formula1>"BUY,SELL"</formula1>
    </dataValidation>
    <dataValidation sqref="D29" showDropDown="0" showInputMessage="0" showErrorMessage="0" allowBlank="1" type="list">
      <formula1>"BUY,SELL"</formula1>
    </dataValidation>
    <dataValidation sqref="D30" showDropDown="0" showInputMessage="0" showErrorMessage="0" allowBlank="1" type="list">
      <formula1>"BUY,SELL"</formula1>
    </dataValidation>
    <dataValidation sqref="D31" showDropDown="0" showInputMessage="0" showErrorMessage="0" allowBlank="1" type="list">
      <formula1>"BUY,SELL"</formula1>
    </dataValidation>
    <dataValidation sqref="D32" showDropDown="0" showInputMessage="0" showErrorMessage="0" allowBlank="1" type="list">
      <formula1>"BUY,SELL"</formula1>
    </dataValidation>
    <dataValidation sqref="D33" showDropDown="0" showInputMessage="0" showErrorMessage="0" allowBlank="1" type="list">
      <formula1>"BUY,SELL"</formula1>
    </dataValidation>
    <dataValidation sqref="D34" showDropDown="0" showInputMessage="0" showErrorMessage="0" allowBlank="1" type="list">
      <formula1>"BUY,SELL"</formula1>
    </dataValidation>
    <dataValidation sqref="D35" showDropDown="0" showInputMessage="0" showErrorMessage="0" allowBlank="1" type="list">
      <formula1>"BUY,SELL"</formula1>
    </dataValidation>
    <dataValidation sqref="D36" showDropDown="0" showInputMessage="0" showErrorMessage="0" allowBlank="1" type="list">
      <formula1>"BUY,SELL"</formula1>
    </dataValidation>
    <dataValidation sqref="D37" showDropDown="0" showInputMessage="0" showErrorMessage="0" allowBlank="1" type="list">
      <formula1>"BUY,SELL"</formula1>
    </dataValidation>
    <dataValidation sqref="D38" showDropDown="0" showInputMessage="0" showErrorMessage="0" allowBlank="1" type="list">
      <formula1>"BUY,SELL"</formula1>
    </dataValidation>
    <dataValidation sqref="D39" showDropDown="0" showInputMessage="0" showErrorMessage="0" allowBlank="1" type="list">
      <formula1>"BUY,SELL"</formula1>
    </dataValidation>
    <dataValidation sqref="D40" showDropDown="0" showInputMessage="0" showErrorMessage="0" allowBlank="1" type="list">
      <formula1>"BUY,SELL"</formula1>
    </dataValidation>
    <dataValidation sqref="D41" showDropDown="0" showInputMessage="0" showErrorMessage="0" allowBlank="1" type="list">
      <formula1>"BUY,SELL"</formula1>
    </dataValidation>
    <dataValidation sqref="D42" showDropDown="0" showInputMessage="0" showErrorMessage="0" allowBlank="1" type="list">
      <formula1>"BUY,SELL"</formula1>
    </dataValidation>
    <dataValidation sqref="D43" showDropDown="0" showInputMessage="0" showErrorMessage="0" allowBlank="1" type="list">
      <formula1>"BUY,SELL"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20" customWidth="1" min="3" max="3"/>
  </cols>
  <sheetData>
    <row r="1" ht="28" customHeight="1">
      <c r="A1" s="22" t="inlineStr">
        <is>
          <t>DAILY OPERATOR CHECKLIST  —  Target: Under 10 minutes  |  Before 9:10 AM</t>
        </is>
      </c>
    </row>
    <row r="2">
      <c r="A2" s="89" t="inlineStr">
        <is>
          <t>Strategy: RS=60% / EP=40% / Top-10 / Rebal 10d / SL 10% / Policy C</t>
        </is>
      </c>
    </row>
    <row r="4" ht="18" customHeight="1">
      <c r="A4" s="90" t="inlineStr">
        <is>
          <t>STEP 1 — REGIME CHECK  (~2 min)</t>
        </is>
      </c>
      <c r="B4" s="121" t="n"/>
      <c r="C4" s="51" t="n"/>
    </row>
    <row r="5" ht="22" customHeight="1">
      <c r="A5" s="91" t="inlineStr">
        <is>
          <t>☐</t>
        </is>
      </c>
      <c r="B5" s="92" t="inlineStr">
        <is>
          <t>Open NSE website or yfinance. Get yesterday's Nifty 50 close.</t>
        </is>
      </c>
      <c r="C5" s="93" t="inlineStr"/>
    </row>
    <row r="6" ht="22" customHeight="1">
      <c r="A6" s="94" t="inlineStr">
        <is>
          <t>☐</t>
        </is>
      </c>
      <c r="B6" s="95" t="inlineStr">
        <is>
          <t>Calculate 50-DMA (or read from script). Enter in Daily_Ops_Log col D.</t>
        </is>
      </c>
      <c r="C6" s="96" t="inlineStr"/>
    </row>
    <row r="7" ht="22" customHeight="1">
      <c r="A7" s="91" t="inlineStr">
        <is>
          <t>☐</t>
        </is>
      </c>
      <c r="B7" s="92" t="inlineStr">
        <is>
          <t>Calculate 200-DMA (or read from script). Enter in Daily_Ops_Log col E.</t>
        </is>
      </c>
      <c r="C7" s="93" t="inlineStr"/>
    </row>
    <row r="8" ht="22" customHeight="1">
      <c r="A8" s="94" t="inlineStr">
        <is>
          <t>☐</t>
        </is>
      </c>
      <c r="B8" s="95" t="inlineStr">
        <is>
          <t>Read regime from col G (auto-classifies):  BULL / FLAT / BEAR</t>
        </is>
      </c>
      <c r="C8" s="96" t="inlineStr"/>
    </row>
    <row r="9" ht="22" customHeight="1">
      <c r="A9" s="91" t="inlineStr">
        <is>
          <t>☐</t>
        </is>
      </c>
      <c r="B9" s="92" t="inlineStr">
        <is>
          <t>Log: Date | Nifty | 50DMA | 200DMA | Regime</t>
        </is>
      </c>
      <c r="C9" s="93" t="inlineStr"/>
    </row>
    <row r="11" ht="18" customHeight="1">
      <c r="A11" s="90" t="inlineStr">
        <is>
          <t>STEP 2 — BEAR GATE  (~1 min)</t>
        </is>
      </c>
      <c r="B11" s="121" t="n"/>
      <c r="C11" s="51" t="n"/>
    </row>
    <row r="12" ht="22" customHeight="1">
      <c r="A12" s="97" t="inlineStr">
        <is>
          <t>☐</t>
        </is>
      </c>
      <c r="B12" s="98" t="inlineStr">
        <is>
          <t>If BEAR AND open positions exist → place market SELL orders for ALL positions at 9:15 AM open. Record in Trade Log with Exit Reason = Regime.</t>
        </is>
      </c>
      <c r="C12" s="99" t="inlineStr">
        <is>
          <t>CRITICAL</t>
        </is>
      </c>
    </row>
    <row r="13" ht="22" customHeight="1">
      <c r="A13" s="91" t="inlineStr">
        <is>
          <t>☐</t>
        </is>
      </c>
      <c r="B13" s="92" t="inlineStr">
        <is>
          <t>If BEAR AND no positions → hold cash. Skip to Step 5.</t>
        </is>
      </c>
      <c r="C13" s="93" t="inlineStr"/>
    </row>
    <row r="14" ht="22" customHeight="1">
      <c r="A14" s="94" t="inlineStr">
        <is>
          <t>☐</t>
        </is>
      </c>
      <c r="B14" s="95" t="inlineStr">
        <is>
          <t>If BULL or FLAT → proceed to Step 3.</t>
        </is>
      </c>
      <c r="C14" s="96" t="inlineStr"/>
    </row>
    <row r="16" ht="18" customHeight="1">
      <c r="A16" s="90" t="inlineStr">
        <is>
          <t>STEP 3 — STOP-LOSS CHECK  (~3 min)</t>
        </is>
      </c>
      <c r="B16" s="121" t="n"/>
      <c r="C16" s="51" t="n"/>
    </row>
    <row r="17" ht="22" customHeight="1">
      <c r="A17" s="91" t="inlineStr">
        <is>
          <t>☐</t>
        </is>
      </c>
      <c r="B17" s="92" t="inlineStr">
        <is>
          <t>Open Position_Log. Update col F (Current Close) for every open position.</t>
        </is>
      </c>
      <c r="C17" s="93" t="inlineStr"/>
    </row>
    <row r="18" ht="22" customHeight="1">
      <c r="A18" s="94" t="inlineStr">
        <is>
          <t>☐</t>
        </is>
      </c>
      <c r="B18" s="95" t="inlineStr">
        <is>
          <t>Check col K (Status). Look for *** SL TRIGGERED *** or APPROACHING SL.</t>
        </is>
      </c>
      <c r="C18" s="96" t="inlineStr"/>
    </row>
    <row r="19" ht="22" customHeight="1">
      <c r="A19" s="91" t="inlineStr">
        <is>
          <t>☐</t>
        </is>
      </c>
      <c r="B19" s="92" t="inlineStr">
        <is>
          <t>If SL triggered: place market SELL order for that position at 9:15 AM open.</t>
        </is>
      </c>
      <c r="C19" s="93" t="inlineStr"/>
    </row>
    <row r="20" ht="22" customHeight="1">
      <c r="A20" s="94" t="inlineStr">
        <is>
          <t>☐</t>
        </is>
      </c>
      <c r="B20" s="95" t="inlineStr">
        <is>
          <t>Record SL exits in Trade Log. Exit Reason = SL.</t>
        </is>
      </c>
      <c r="C20" s="96" t="inlineStr"/>
    </row>
    <row r="21" ht="22" customHeight="1">
      <c r="A21" s="91" t="inlineStr">
        <is>
          <t>☐</t>
        </is>
      </c>
      <c r="B21" s="92" t="inlineStr">
        <is>
          <t>Record symbol in Daily_Ops_Log col J (SL Exits Today).</t>
        </is>
      </c>
      <c r="C21" s="93" t="inlineStr"/>
    </row>
    <row r="23" ht="18" customHeight="1">
      <c r="A23" s="90" t="inlineStr">
        <is>
          <t>STEP 4 — ORDER CONFIRMATION  (~2 min)</t>
        </is>
      </c>
      <c r="B23" s="121" t="n"/>
      <c r="C23" s="51" t="n"/>
    </row>
    <row r="24" ht="22" customHeight="1">
      <c r="A24" s="94" t="inlineStr">
        <is>
          <t>☐</t>
        </is>
      </c>
      <c r="B24" s="95" t="inlineStr">
        <is>
          <t>Confirm all orders from yesterday are filled in broker platform.</t>
        </is>
      </c>
      <c r="C24" s="96" t="inlineStr"/>
    </row>
    <row r="25" ht="22" customHeight="1">
      <c r="A25" s="91" t="inlineStr">
        <is>
          <t>☐</t>
        </is>
      </c>
      <c r="B25" s="92" t="inlineStr">
        <is>
          <t>If any order is pending or partial: resolve manually. Do not place new orders.</t>
        </is>
      </c>
      <c r="C25" s="93" t="inlineStr"/>
    </row>
    <row r="26" ht="22" customHeight="1">
      <c r="A26" s="94" t="inlineStr">
        <is>
          <t>☐</t>
        </is>
      </c>
      <c r="B26" s="95" t="inlineStr">
        <is>
          <t>Record actual fill prices in Position_Log (not order price).</t>
        </is>
      </c>
      <c r="C26" s="96" t="inlineStr"/>
    </row>
    <row r="28" ht="18" customHeight="1">
      <c r="A28" s="90" t="inlineStr">
        <is>
          <t>STEP 5 — REBALANCE CHECK  (~1 min)</t>
        </is>
      </c>
      <c r="B28" s="121" t="n"/>
      <c r="C28" s="51" t="n"/>
    </row>
    <row r="29" ht="22" customHeight="1">
      <c r="A29" s="91" t="inlineStr">
        <is>
          <t>☐</t>
        </is>
      </c>
      <c r="B29" s="92" t="inlineStr">
        <is>
          <t>Check Daily_Ops_Log col L. Is today marked REBAL?</t>
        </is>
      </c>
      <c r="C29" s="93" t="inlineStr"/>
    </row>
    <row r="30" ht="22" customHeight="1">
      <c r="A30" s="94" t="inlineStr">
        <is>
          <t>☐</t>
        </is>
      </c>
      <c r="B30" s="95" t="inlineStr">
        <is>
          <t>If YES and regime is BULL/FLAT → run full Rebalance Checklist (separate sheet).</t>
        </is>
      </c>
      <c r="C30" s="96" t="inlineStr"/>
    </row>
    <row r="31" ht="22" customHeight="1">
      <c r="A31" s="91" t="inlineStr">
        <is>
          <t>☐</t>
        </is>
      </c>
      <c r="B31" s="92" t="inlineStr">
        <is>
          <t>If YES and regime is BEAR → skip rebalance. Log in Rebalance_Log as Skipped=YES.</t>
        </is>
      </c>
      <c r="C31" s="93" t="inlineStr"/>
    </row>
    <row r="32" ht="22" customHeight="1">
      <c r="A32" s="94" t="inlineStr">
        <is>
          <t>☐</t>
        </is>
      </c>
      <c r="B32" s="95" t="inlineStr">
        <is>
          <t>If NO → no further action needed today.</t>
        </is>
      </c>
      <c r="C32" s="96" t="inlineStr"/>
    </row>
    <row r="34" ht="18" customHeight="1">
      <c r="A34" s="90" t="inlineStr">
        <is>
          <t>STEP 6 — END-OF-DAY LOG  (~1 min)</t>
        </is>
      </c>
      <c r="B34" s="121" t="n"/>
      <c r="C34" s="51" t="n"/>
    </row>
    <row r="35" ht="22" customHeight="1">
      <c r="A35" s="91" t="inlineStr">
        <is>
          <t>☐</t>
        </is>
      </c>
      <c r="B35" s="92" t="inlineStr">
        <is>
          <t>Enter portfolio value in Daily_Ops_Log col H (cash + positions at close).</t>
        </is>
      </c>
      <c r="C35" s="93" t="inlineStr"/>
    </row>
    <row r="36" ht="22" customHeight="1">
      <c r="A36" s="94" t="inlineStr">
        <is>
          <t>☐</t>
        </is>
      </c>
      <c r="B36" s="95" t="inlineStr">
        <is>
          <t>Confirm col I shows daily P&amp;L (auto-calculates from previous row).</t>
        </is>
      </c>
      <c r="C36" s="96" t="inlineStr"/>
    </row>
    <row r="37" ht="22" customHeight="1">
      <c r="A37" s="91" t="inlineStr">
        <is>
          <t>☐</t>
        </is>
      </c>
      <c r="B37" s="92" t="inlineStr">
        <is>
          <t>Add any notes in col M (data issues, manual interventions, anomalies).</t>
        </is>
      </c>
      <c r="C37" s="93" t="inlineStr"/>
    </row>
    <row r="39" ht="28" customHeight="1">
      <c r="A39" s="100" t="inlineStr">
        <is>
          <t>REGIME RULES:  BULL = Nifty&gt;200DMA AND 50DMA&gt;200DMA  |  FLAT = Nifty&gt;200DMA AND 50DMA≤200DMA  |  BEAR = Nifty&lt;200DMA  →  CASH ONLY</t>
        </is>
      </c>
      <c r="B39" s="121" t="n"/>
      <c r="C39" s="51" t="n"/>
    </row>
  </sheetData>
  <mergeCells count="9">
    <mergeCell ref="A28:C28"/>
    <mergeCell ref="A11:C11"/>
    <mergeCell ref="A1:C1"/>
    <mergeCell ref="A23:C23"/>
    <mergeCell ref="A16:C16"/>
    <mergeCell ref="A39:C39"/>
    <mergeCell ref="A34:C34"/>
    <mergeCell ref="A4:C4"/>
    <mergeCell ref="A2:C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62" customWidth="1" min="2" max="2"/>
    <col width="18" customWidth="1" min="3" max="3"/>
  </cols>
  <sheetData>
    <row r="1" ht="28" customHeight="1">
      <c r="A1" s="22" t="inlineStr">
        <is>
          <t>REBALANCE-DAY CHECKLIST  —  Every 10th trading day from last rebalance</t>
        </is>
      </c>
    </row>
    <row r="2">
      <c r="A2" s="89" t="inlineStr">
        <is>
          <t>Paper trading rebalance days: 2026-06-27 (Day 10)  |  2026-07-10 (Day 20)  |  2026-07-24 (Day 30)</t>
        </is>
      </c>
    </row>
    <row r="4" ht="18" customHeight="1">
      <c r="A4" s="90" t="inlineStr">
        <is>
          <t>PRE-REBALANCE GATE</t>
        </is>
      </c>
      <c r="B4" s="121" t="n"/>
      <c r="C4" s="51" t="n"/>
    </row>
    <row r="5" ht="22" customHeight="1">
      <c r="A5" s="91" t="inlineStr">
        <is>
          <t>☐</t>
        </is>
      </c>
      <c r="B5" s="92" t="inlineStr">
        <is>
          <t>Run Daily Checklist first (steps 1–4). Confirm regime before proceeding.</t>
        </is>
      </c>
      <c r="C5" s="101" t="inlineStr">
        <is>
          <t>Do first</t>
        </is>
      </c>
    </row>
    <row r="6" ht="22" customHeight="1">
      <c r="A6" s="97" t="inlineStr">
        <is>
          <t>☐</t>
        </is>
      </c>
      <c r="B6" s="98" t="inlineStr">
        <is>
          <t>If BEAR regime → do NOT rebalance. Log Rebalance_Log: Skipped=YES. STOP.</t>
        </is>
      </c>
      <c r="C6" s="102" t="inlineStr">
        <is>
          <t>CRITICAL</t>
        </is>
      </c>
    </row>
    <row r="7" ht="22" customHeight="1">
      <c r="A7" s="91" t="inlineStr">
        <is>
          <t>☐</t>
        </is>
      </c>
      <c r="B7" s="92" t="inlineStr">
        <is>
          <t>If BULL or FLAT → continue below.</t>
        </is>
      </c>
      <c r="C7" s="101" t="inlineStr"/>
    </row>
    <row r="9" ht="18" customHeight="1">
      <c r="A9" s="90" t="inlineStr">
        <is>
          <t>DATA DOWNLOAD  (~3 min)</t>
        </is>
      </c>
      <c r="B9" s="121" t="n"/>
      <c r="C9" s="51" t="n"/>
    </row>
    <row r="10" ht="22" customHeight="1">
      <c r="A10" s="94" t="inlineStr">
        <is>
          <t>☐</t>
        </is>
      </c>
      <c r="B10" s="95" t="inlineStr">
        <is>
          <t>Run final_validation.py (or download 134 stock closes from yfinance).</t>
        </is>
      </c>
      <c r="C10" s="103" t="inlineStr"/>
    </row>
    <row r="11" ht="22" customHeight="1">
      <c r="A11" s="91" t="inlineStr">
        <is>
          <t>☐</t>
        </is>
      </c>
      <c r="B11" s="92" t="inlineStr">
        <is>
          <t>Verify data: confirm 130+ stocks returned valid closes.</t>
        </is>
      </c>
      <c r="C11" s="101" t="inlineStr"/>
    </row>
    <row r="12" ht="22" customHeight="1">
      <c r="A12" s="94" t="inlineStr">
        <is>
          <t>☐</t>
        </is>
      </c>
      <c r="B12" s="95" t="inlineStr">
        <is>
          <t>Flag any stock with price = 0 or missing — exclude from ranking this cycle.</t>
        </is>
      </c>
      <c r="C12" s="103" t="inlineStr"/>
    </row>
    <row r="14" ht="18" customHeight="1">
      <c r="A14" s="90" t="inlineStr">
        <is>
          <t>FACTOR COMPUTATION  (auto via script)</t>
        </is>
      </c>
      <c r="B14" s="121" t="n"/>
      <c r="C14" s="51" t="n"/>
    </row>
    <row r="15" ht="22" customHeight="1">
      <c r="A15" s="91" t="inlineStr">
        <is>
          <t>☐</t>
        </is>
      </c>
      <c r="B15" s="92" t="inlineStr">
        <is>
          <t>Script computes RS_raw = (stock 63d return) - (Nifty 63d return) for each stock.</t>
        </is>
      </c>
      <c r="C15" s="101" t="inlineStr"/>
    </row>
    <row r="16" ht="22" customHeight="1">
      <c r="A16" s="94" t="inlineStr">
        <is>
          <t>☐</t>
        </is>
      </c>
      <c r="B16" s="95" t="inlineStr">
        <is>
          <t>Script computes EP_raw = max gap-day return &gt;2% with volume &gt;1.5x avg in 63d.</t>
        </is>
      </c>
      <c r="C16" s="103" t="inlineStr"/>
    </row>
    <row r="17" ht="22" customHeight="1">
      <c r="A17" s="91" t="inlineStr">
        <is>
          <t>☐</t>
        </is>
      </c>
      <c r="B17" s="92" t="inlineStr">
        <is>
          <t>Script percentile-ranks both factors (0-100). Composite = 0.60×RS + 0.40×EP.</t>
        </is>
      </c>
      <c r="C17" s="101" t="inlineStr"/>
    </row>
    <row r="18" ht="22" customHeight="1">
      <c r="A18" s="94" t="inlineStr">
        <is>
          <t>☐</t>
        </is>
      </c>
      <c r="B18" s="95" t="inlineStr">
        <is>
          <t>Read the top-10 stocks from script output. Paste into Rebalance_Log col E.</t>
        </is>
      </c>
      <c r="C18" s="103" t="inlineStr"/>
    </row>
    <row r="20" ht="18" customHeight="1">
      <c r="A20" s="90" t="inlineStr">
        <is>
          <t>DETERMINE TRADES  (~2 min)</t>
        </is>
      </c>
      <c r="B20" s="121" t="n"/>
      <c r="C20" s="51" t="n"/>
    </row>
    <row r="21" ht="22" customHeight="1">
      <c r="A21" s="91" t="inlineStr">
        <is>
          <t>☐</t>
        </is>
      </c>
      <c r="B21" s="92" t="inlineStr">
        <is>
          <t>List current holdings from Position_Log.</t>
        </is>
      </c>
      <c r="C21" s="101" t="inlineStr"/>
    </row>
    <row r="22" ht="22" customHeight="1">
      <c r="A22" s="94" t="inlineStr">
        <is>
          <t>☐</t>
        </is>
      </c>
      <c r="B22" s="95" t="inlineStr">
        <is>
          <t>EXITS: stocks in current holdings NOT in new top-10 → queue sell.</t>
        </is>
      </c>
      <c r="C22" s="103" t="inlineStr"/>
    </row>
    <row r="23" ht="22" customHeight="1">
      <c r="A23" s="91" t="inlineStr">
        <is>
          <t>☐</t>
        </is>
      </c>
      <c r="B23" s="92" t="inlineStr">
        <is>
          <t>ENTRIES: stocks in new top-10 NOT currently held → queue buy.</t>
        </is>
      </c>
      <c r="C23" s="101" t="inlineStr"/>
    </row>
    <row r="24" ht="22" customHeight="1">
      <c r="A24" s="94" t="inlineStr">
        <is>
          <t>☐</t>
        </is>
      </c>
      <c r="B24" s="95" t="inlineStr">
        <is>
          <t>HOLDS: stocks in both → no action.</t>
        </is>
      </c>
      <c r="C24" s="103" t="inlineStr"/>
    </row>
    <row r="25" ht="22" customHeight="1">
      <c r="A25" s="91" t="inlineStr">
        <is>
          <t>☐</t>
        </is>
      </c>
      <c r="B25" s="92" t="inlineStr">
        <is>
          <t>Record exits and entries in Rebalance_Log cols F and G.</t>
        </is>
      </c>
      <c r="C25" s="101" t="inlineStr"/>
    </row>
    <row r="27" ht="18" customHeight="1">
      <c r="A27" s="90" t="inlineStr">
        <is>
          <t>POSITION SIZING  (~2 min)</t>
        </is>
      </c>
      <c r="B27" s="121" t="n"/>
      <c r="C27" s="51" t="n"/>
    </row>
    <row r="28" ht="22" customHeight="1">
      <c r="A28" s="94" t="inlineStr">
        <is>
          <t>☐</t>
        </is>
      </c>
      <c r="B28" s="95" t="inlineStr">
        <is>
          <t>Available cash = current cash - Rs.25,000 buffer.</t>
        </is>
      </c>
      <c r="C28" s="103" t="inlineStr"/>
    </row>
    <row r="29" ht="22" customHeight="1">
      <c r="A29" s="91" t="inlineStr">
        <is>
          <t>☐</t>
        </is>
      </c>
      <c r="B29" s="92" t="inlineStr">
        <is>
          <t>Per-position allocation = min(available_cash ÷ N_new_entries,  Rs.50,000).</t>
        </is>
      </c>
      <c r="C29" s="101" t="inlineStr"/>
    </row>
    <row r="30" ht="22" customHeight="1">
      <c r="A30" s="94" t="inlineStr">
        <is>
          <t>☐</t>
        </is>
      </c>
      <c r="B30" s="95" t="inlineStr">
        <is>
          <t>Shares to buy = floor(allocation ÷ yesterday's close).</t>
        </is>
      </c>
      <c r="C30" s="103" t="inlineStr"/>
    </row>
    <row r="31" ht="22" customHeight="1">
      <c r="A31" s="91" t="inlineStr">
        <is>
          <t>☐</t>
        </is>
      </c>
      <c r="B31" s="92" t="inlineStr">
        <is>
          <t>Verify total outlay ≤ available cash before placing orders.</t>
        </is>
      </c>
      <c r="C31" s="101" t="inlineStr"/>
    </row>
    <row r="33" ht="18" customHeight="1">
      <c r="A33" s="90" t="inlineStr">
        <is>
          <t>ORDER PLACEMENT  (9:15 AM tomorrow)</t>
        </is>
      </c>
      <c r="B33" s="121" t="n"/>
      <c r="C33" s="51" t="n"/>
    </row>
    <row r="34" ht="22" customHeight="1">
      <c r="A34" s="94" t="inlineStr">
        <is>
          <t>☐</t>
        </is>
      </c>
      <c r="B34" s="95" t="inlineStr">
        <is>
          <t>Place all EXIT (sell) orders first — market CNC.</t>
        </is>
      </c>
      <c r="C34" s="103" t="inlineStr"/>
    </row>
    <row r="35" ht="22" customHeight="1">
      <c r="A35" s="91" t="inlineStr">
        <is>
          <t>☐</t>
        </is>
      </c>
      <c r="B35" s="92" t="inlineStr">
        <is>
          <t>Wait 2 minutes.</t>
        </is>
      </c>
      <c r="C35" s="101" t="inlineStr"/>
    </row>
    <row r="36" ht="22" customHeight="1">
      <c r="A36" s="104" t="inlineStr">
        <is>
          <t>☐</t>
        </is>
      </c>
      <c r="B36" s="105" t="inlineStr">
        <is>
          <t>Place all ENTRY (buy) orders — market CNC.</t>
        </is>
      </c>
      <c r="C36" s="106" t="inlineStr">
        <is>
          <t>DO NOT use limit orders</t>
        </is>
      </c>
    </row>
    <row r="37" ht="22" customHeight="1">
      <c r="A37" s="91" t="inlineStr">
        <is>
          <t>☐</t>
        </is>
      </c>
      <c r="B37" s="92" t="inlineStr">
        <is>
          <t>Record all order IDs.</t>
        </is>
      </c>
      <c r="C37" s="101" t="inlineStr"/>
    </row>
    <row r="39" ht="18" customHeight="1">
      <c r="A39" s="90" t="inlineStr">
        <is>
          <t>POST-FILL UPDATE  (~3 min after 9:30 AM)</t>
        </is>
      </c>
      <c r="B39" s="121" t="n"/>
      <c r="C39" s="51" t="n"/>
    </row>
    <row r="40" ht="22" customHeight="1">
      <c r="A40" s="94" t="inlineStr">
        <is>
          <t>☐</t>
        </is>
      </c>
      <c r="B40" s="95" t="inlineStr">
        <is>
          <t>Confirm all orders filled in broker platform.</t>
        </is>
      </c>
      <c r="C40" s="103" t="inlineStr"/>
    </row>
    <row r="41" ht="22" customHeight="1">
      <c r="A41" s="91" t="inlineStr">
        <is>
          <t>☐</t>
        </is>
      </c>
      <c r="B41" s="92" t="inlineStr">
        <is>
          <t>Record actual fill prices in Position_Log (new cost basis).</t>
        </is>
      </c>
      <c r="C41" s="101" t="inlineStr"/>
    </row>
    <row r="42" ht="22" customHeight="1">
      <c r="A42" s="94" t="inlineStr">
        <is>
          <t>☐</t>
        </is>
      </c>
      <c r="B42" s="95" t="inlineStr">
        <is>
          <t>Update SL level for each new entry: fill_price × 0.90 (auto-calculates).</t>
        </is>
      </c>
      <c r="C42" s="103" t="inlineStr"/>
    </row>
    <row r="43" ht="22" customHeight="1">
      <c r="A43" s="91" t="inlineStr">
        <is>
          <t>☐</t>
        </is>
      </c>
      <c r="B43" s="92" t="inlineStr">
        <is>
          <t>Add completed trade records to Trade_Log for each exit.</t>
        </is>
      </c>
      <c r="C43" s="101" t="inlineStr"/>
    </row>
    <row r="44" ht="22" customHeight="1">
      <c r="A44" s="94" t="inlineStr">
        <is>
          <t>☐</t>
        </is>
      </c>
      <c r="B44" s="95" t="inlineStr">
        <is>
          <t>Record actual fill prices in Slippage_Tracker for every buy and sell.</t>
        </is>
      </c>
      <c r="C44" s="103" t="inlineStr"/>
    </row>
    <row r="45" ht="22" customHeight="1">
      <c r="A45" s="91" t="inlineStr">
        <is>
          <t>☐</t>
        </is>
      </c>
      <c r="B45" s="92" t="inlineStr">
        <is>
          <t>Update Rebalance_Log: Cash Before, Cash After, Turnover %.</t>
        </is>
      </c>
      <c r="C45" s="101" t="inlineStr"/>
    </row>
    <row r="46" ht="22" customHeight="1">
      <c r="A46" s="94" t="inlineStr">
        <is>
          <t>☐</t>
        </is>
      </c>
      <c r="B46" s="95" t="inlineStr">
        <is>
          <t>Set next rebalance date = today + 10 trading days.</t>
        </is>
      </c>
      <c r="C46" s="103" t="inlineStr"/>
    </row>
  </sheetData>
  <mergeCells count="9">
    <mergeCell ref="A33:C33"/>
    <mergeCell ref="A1:C1"/>
    <mergeCell ref="A14:C14"/>
    <mergeCell ref="A9:C9"/>
    <mergeCell ref="A27:C27"/>
    <mergeCell ref="A39:C39"/>
    <mergeCell ref="A4:C4"/>
    <mergeCell ref="A20:C20"/>
    <mergeCell ref="A2:C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58" customWidth="1" min="2" max="2"/>
  </cols>
  <sheetData>
    <row r="1" ht="32" customHeight="1">
      <c r="A1" s="68" t="inlineStr">
        <is>
          <t>WHAT TO DO IF SOMETHING BREAKS  —  MoneyBot RS60/EP40</t>
        </is>
      </c>
    </row>
    <row r="2">
      <c r="A2" s="107" t="inlineStr">
        <is>
          <t>Print this page and keep it at your desk. Strategy is FROZEN — do not change any parameter.</t>
        </is>
      </c>
    </row>
    <row r="4" ht="74" customHeight="1">
      <c r="A4" s="98" t="inlineStr">
        <is>
          <t>DATA DOWNLOAD FAILS
(yfinance returns no data)</t>
        </is>
      </c>
      <c r="B4" s="108" t="inlineStr">
        <is>
          <t>1. Retry after 30 min.
2. If still failing — SKIP rebalance (if rebal day). Do not trade on bad data.
3. Apply SL check manually using yesterday's prices (check NSEIndia.com).
4. Log the skip. Resume tomorrow.</t>
        </is>
      </c>
    </row>
    <row r="5" ht="92" customHeight="1">
      <c r="A5" s="109" t="inlineStr">
        <is>
          <t>BROKER ORDER NOT PLACED
(order missing from platform)</t>
        </is>
      </c>
      <c r="B5" s="105" t="inlineStr">
        <is>
          <t>1. Do NOT retry automatically.
2. Log in to Zerodha Kite manually.
3. Verify order status. If not placed: place manually before 9:30 AM.
4. If duplicate exists: cancel duplicates immediately.
5. Record all manual actions with timestamp.</t>
        </is>
      </c>
    </row>
    <row r="6" ht="60" customHeight="1">
      <c r="A6" s="109" t="inlineStr">
        <is>
          <t>STOCK OPENS BELOW SL
(gap-down past stop-loss)</t>
        </is>
      </c>
      <c r="B6" s="105" t="inlineStr">
        <is>
          <t>1. Accept the fill at the market open price. Do NOT hold hoping for recovery.
2. Record actual fill vs SL level as gap-down slippage.
3. No action on SL model unless this happens &gt;3 times in 60 days.</t>
        </is>
      </c>
    </row>
    <row r="7" ht="92" customHeight="1">
      <c r="A7" s="109" t="inlineStr">
        <is>
          <t>REGIME CLASSIFIED WRONG
(you entered wrong DMA values)</t>
        </is>
      </c>
      <c r="B7" s="105" t="inlineStr">
        <is>
          <t>Bear→Bull error (invested when should be in cash):
  → Exit ALL positions at next open. Do not make back Bear regime days.
Bull→Bear error (in cash when should be invested):
  → Wait until next rebalance. Do not chase missed entry.
  → Log the error and root cause.</t>
        </is>
      </c>
    </row>
    <row r="8" ht="60" customHeight="1">
      <c r="A8" s="110" t="inlineStr">
        <is>
          <t>CORPORATE ACTION
(split, bonus, merger, delisting)</t>
        </is>
      </c>
      <c r="B8" s="111" t="inlineStr">
        <is>
          <t>Split / Bonus: Adjust cost basis (new = old ÷ ratio). Adjust qty and SL.
Merger / Delisting: Exit at next open. Remove from universe list.
Rights issue: Do not subscribe. SL check handles price impact.</t>
        </is>
      </c>
    </row>
    <row r="9" ht="110" customHeight="1">
      <c r="A9" s="98" t="inlineStr">
        <is>
          <t>PORTFOLIO DOWN &gt;20% FROM PEAK
[CRITICAL — AUTO-SHUTDOWN TRIGGER]</t>
        </is>
      </c>
      <c r="B9" s="108" t="inlineStr">
        <is>
          <t>1. EXIT ALL positions at next open. No exceptions.
2. Stop all trading for 30 calendar days.
3. During pause: run deployment_verification.py on latest 2-year data.
   → Fresh OOS PF &gt;1.10: resume after 30 days.
   → Fresh OOS PF &lt;1.05: do NOT resume. Full re-validation required.
4. Do not shorten the 30-day pause even if market recovers.</t>
        </is>
      </c>
    </row>
    <row r="10" ht="92" customHeight="1">
      <c r="A10" s="109" t="inlineStr">
        <is>
          <t>3 CONSECUTIVE LOSING REBALANCES</t>
        </is>
      </c>
      <c r="B10" s="105" t="inlineStr">
        <is>
          <t>1. Do NOT stop trading. This is within normal variance.
2. Compute rolling 30-day PF from Trade_Log.
   → PF &gt;0.85: continue. Log the flag.
   → PF &lt;0.85: raise red flag. Run deployment_verification.py.
3. Do NOT change strategy parameters based on a losing streak.</t>
        </is>
      </c>
    </row>
    <row r="11" ht="74" customHeight="1">
      <c r="A11" s="110" t="inlineStr">
        <is>
          <t>MARKET-WIDE CIRCUIT BREAKER
(SEBI halts trading)</t>
        </is>
      </c>
      <c r="B11" s="111" t="inlineStr">
        <is>
          <t>1. Do not place any orders during market halt.
2. Wait for normal trading to resume.
3. On next trading day: run full Daily Checklist from Step 1.
4. SL and regime checks take priority over everything else.</t>
        </is>
      </c>
    </row>
    <row r="12" ht="20" customHeight="1">
      <c r="A12" s="112" t="inlineStr">
        <is>
          <t>PERMANENT RULES — NEVER VIOLATE</t>
        </is>
      </c>
      <c r="B12" s="51" t="n"/>
    </row>
    <row r="13" ht="22" customHeight="1">
      <c r="A13" s="113" t="inlineStr">
        <is>
          <t>⛔</t>
        </is>
      </c>
      <c r="B13" s="98" t="inlineStr">
        <is>
          <t>Do NOT trade in Bear regime (Nifty &lt; 200DMA).</t>
        </is>
      </c>
    </row>
    <row r="14" ht="22" customHeight="1">
      <c r="A14" s="113" t="inlineStr">
        <is>
          <t>⛔</t>
        </is>
      </c>
      <c r="B14" s="98" t="inlineStr">
        <is>
          <t>Do NOT change RS/EP weights, Top-N, SL%, or rebalance cadence without full re-validation.</t>
        </is>
      </c>
    </row>
    <row r="15" ht="22" customHeight="1">
      <c r="A15" s="113" t="inlineStr">
        <is>
          <t>⛔</t>
        </is>
      </c>
      <c r="B15" s="98" t="inlineStr">
        <is>
          <t>Do NOT use limit orders — strategy is modelled on market fills.</t>
        </is>
      </c>
    </row>
    <row r="16" ht="22" customHeight="1">
      <c r="A16" s="113" t="inlineStr">
        <is>
          <t>⛔</t>
        </is>
      </c>
      <c r="B16" s="98" t="inlineStr">
        <is>
          <t>Do NOT trade on bad or stale data — skip the day and log it.</t>
        </is>
      </c>
    </row>
    <row r="17" ht="22" customHeight="1">
      <c r="A17" s="113" t="inlineStr">
        <is>
          <t>⛔</t>
        </is>
      </c>
      <c r="B17" s="98" t="inlineStr">
        <is>
          <t>Do NOT reduce the 30-day suspension after a &gt;20% drawdown.</t>
        </is>
      </c>
    </row>
    <row r="19" ht="36" customHeight="1">
      <c r="A19" s="85" t="inlineStr">
        <is>
          <t>STRATEGY FROZEN:  RS=60% | EP=40% | Top-10 | Rebal 10d | SL 10% | Policy C  ||  CURRENT STATE (Jun 2026): BEAR — hold cash — re-entry when Nifty &gt; 200DMA  ||  VALIDATED OOS: PF 1.349 | CAGR +5.7% | Sharpe 0.507 | MaxDD 13.8%</t>
        </is>
      </c>
      <c r="B19" s="51" t="n"/>
    </row>
  </sheetData>
  <mergeCells count="4">
    <mergeCell ref="A19:B19"/>
    <mergeCell ref="A2:B2"/>
    <mergeCell ref="A1:B1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2026-06-14T18:44:48Z</dcterms:created>
  <dcterms:modified xmlns:dcterms="http://purl.org/dc/terms/" xmlns:xsi="http://www.w3.org/2001/XMLSchema-instance" xsi:type="dcterms:W3CDTF">2026-07-07T05:38:18Z</dcterms:modified>
</cp:coreProperties>
</file>